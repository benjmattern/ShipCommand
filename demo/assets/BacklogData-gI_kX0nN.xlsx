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DEV\ShipCommand\src\"/>
    </mc:Choice>
  </mc:AlternateContent>
  <xr:revisionPtr revIDLastSave="0" documentId="8_{83619C71-4F47-4047-9787-25EFF7250661}" xr6:coauthVersionLast="47" xr6:coauthVersionMax="47" xr10:uidLastSave="{00000000-0000-0000-0000-000000000000}"/>
  <bookViews>
    <workbookView xWindow="28680" yWindow="-120" windowWidth="29040" windowHeight="15720" xr2:uid="{7D08DB0D-359B-4B13-AA13-116C0202738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736" i="1" l="1"/>
  <c r="I725" i="1"/>
  <c r="L712" i="1"/>
  <c r="L711" i="1"/>
  <c r="L710" i="1"/>
  <c r="I710" i="1"/>
  <c r="L708" i="1"/>
  <c r="L662" i="1"/>
  <c r="L648" i="1"/>
  <c r="L647" i="1"/>
  <c r="L643" i="1"/>
  <c r="L632" i="1"/>
  <c r="L631" i="1"/>
  <c r="L630" i="1"/>
  <c r="I629" i="1"/>
  <c r="L629" i="1" s="1"/>
  <c r="L625" i="1"/>
  <c r="L624" i="1"/>
  <c r="L621" i="1"/>
  <c r="L620" i="1"/>
  <c r="L619" i="1"/>
  <c r="L618" i="1"/>
  <c r="L617" i="1"/>
  <c r="L616" i="1"/>
  <c r="L615" i="1"/>
  <c r="L614" i="1"/>
  <c r="I613" i="1"/>
  <c r="L613" i="1" s="1"/>
  <c r="L612" i="1"/>
  <c r="L611" i="1"/>
  <c r="L610" i="1"/>
  <c r="L609" i="1"/>
  <c r="L608" i="1"/>
  <c r="I607" i="1"/>
  <c r="L607" i="1" s="1"/>
  <c r="L606" i="1"/>
  <c r="L605" i="1"/>
  <c r="L604" i="1"/>
  <c r="I603" i="1"/>
  <c r="L603" i="1" s="1"/>
  <c r="L602" i="1"/>
  <c r="L601" i="1"/>
  <c r="L600" i="1"/>
  <c r="I589" i="1"/>
  <c r="I587" i="1"/>
  <c r="I586" i="1"/>
  <c r="I579" i="1"/>
  <c r="I569" i="1"/>
  <c r="I568" i="1"/>
  <c r="I565" i="1"/>
  <c r="L307" i="1"/>
  <c r="L306" i="1"/>
  <c r="L305" i="1"/>
  <c r="L304" i="1"/>
  <c r="L303" i="1"/>
  <c r="L302" i="1"/>
  <c r="L301" i="1"/>
  <c r="L300" i="1"/>
  <c r="L299" i="1"/>
  <c r="L298" i="1"/>
  <c r="L297" i="1"/>
  <c r="L296" i="1"/>
  <c r="L295" i="1"/>
  <c r="L294" i="1"/>
  <c r="L293" i="1"/>
  <c r="L292" i="1"/>
  <c r="L291" i="1"/>
  <c r="L290" i="1"/>
  <c r="L289" i="1"/>
  <c r="L288" i="1"/>
  <c r="L287" i="1"/>
  <c r="L286" i="1"/>
  <c r="L285" i="1"/>
  <c r="L284" i="1"/>
  <c r="I283" i="1"/>
  <c r="L283" i="1" s="1"/>
  <c r="L282" i="1"/>
  <c r="I282" i="1"/>
  <c r="L281" i="1"/>
  <c r="L280" i="1"/>
  <c r="I280" i="1"/>
  <c r="L279" i="1"/>
  <c r="I278" i="1"/>
  <c r="L278" i="1" s="1"/>
  <c r="L277" i="1"/>
  <c r="I277" i="1"/>
  <c r="L276" i="1"/>
  <c r="L275" i="1"/>
  <c r="L274" i="1"/>
  <c r="I273" i="1"/>
  <c r="L273" i="1" s="1"/>
  <c r="L272" i="1"/>
  <c r="L271" i="1"/>
  <c r="L270" i="1"/>
  <c r="L269" i="1"/>
  <c r="L268" i="1"/>
  <c r="I268" i="1"/>
  <c r="L267" i="1"/>
  <c r="L266" i="1"/>
  <c r="L265" i="1"/>
  <c r="L264" i="1"/>
  <c r="I264" i="1"/>
  <c r="L263" i="1"/>
  <c r="L262" i="1"/>
  <c r="L261" i="1"/>
  <c r="L260" i="1"/>
  <c r="L259" i="1"/>
  <c r="L258" i="1"/>
  <c r="L257" i="1"/>
  <c r="L256" i="1"/>
  <c r="L255" i="1"/>
  <c r="L254" i="1"/>
  <c r="L253" i="1"/>
  <c r="L252" i="1"/>
  <c r="L251" i="1"/>
  <c r="L250" i="1"/>
  <c r="L249" i="1"/>
  <c r="L248" i="1"/>
  <c r="L247" i="1"/>
  <c r="L246" i="1"/>
  <c r="L245" i="1"/>
  <c r="L244" i="1"/>
  <c r="L243" i="1"/>
  <c r="L242" i="1"/>
  <c r="I242" i="1"/>
  <c r="L241" i="1"/>
  <c r="L240" i="1"/>
  <c r="L239" i="1"/>
  <c r="L238" i="1"/>
  <c r="L237" i="1"/>
  <c r="L236" i="1"/>
  <c r="L235" i="1"/>
  <c r="I235" i="1"/>
  <c r="L234" i="1"/>
  <c r="L233" i="1"/>
  <c r="L232" i="1"/>
  <c r="L231" i="1"/>
  <c r="L230" i="1"/>
  <c r="L229" i="1"/>
  <c r="L228" i="1"/>
  <c r="L227" i="1"/>
  <c r="L226" i="1"/>
  <c r="L225" i="1"/>
  <c r="L224" i="1"/>
  <c r="L223" i="1"/>
  <c r="I222" i="1"/>
  <c r="L222" i="1" s="1"/>
  <c r="L221" i="1"/>
  <c r="L220" i="1"/>
  <c r="L219" i="1"/>
  <c r="L218" i="1"/>
  <c r="L217" i="1"/>
  <c r="L216" i="1"/>
  <c r="L215" i="1"/>
  <c r="L214" i="1"/>
  <c r="L213" i="1"/>
  <c r="L212" i="1"/>
  <c r="L211" i="1"/>
  <c r="L210" i="1"/>
  <c r="L209" i="1"/>
  <c r="L208" i="1"/>
  <c r="L207" i="1"/>
  <c r="L206" i="1"/>
  <c r="L205" i="1"/>
  <c r="L204" i="1"/>
  <c r="L203" i="1"/>
  <c r="L202" i="1"/>
  <c r="L201" i="1"/>
  <c r="L200" i="1"/>
  <c r="L199" i="1"/>
  <c r="L198" i="1"/>
  <c r="L197" i="1"/>
  <c r="I197" i="1"/>
  <c r="L196" i="1"/>
  <c r="L195" i="1"/>
  <c r="L194" i="1"/>
  <c r="L193" i="1"/>
  <c r="L192" i="1"/>
  <c r="L191" i="1"/>
  <c r="L190" i="1"/>
  <c r="L189" i="1"/>
  <c r="L188" i="1"/>
  <c r="I187" i="1"/>
  <c r="L187" i="1" s="1"/>
  <c r="L186" i="1"/>
  <c r="L185" i="1"/>
  <c r="L184" i="1"/>
  <c r="L183" i="1"/>
  <c r="L182" i="1"/>
  <c r="I181" i="1"/>
  <c r="L181" i="1" s="1"/>
  <c r="L180" i="1"/>
  <c r="L179" i="1"/>
  <c r="L178" i="1"/>
  <c r="L177" i="1"/>
  <c r="L176" i="1"/>
  <c r="L175" i="1"/>
  <c r="L174" i="1"/>
  <c r="L173" i="1"/>
  <c r="L172" i="1"/>
  <c r="L171" i="1"/>
  <c r="L170" i="1"/>
  <c r="L169" i="1"/>
  <c r="L168" i="1"/>
  <c r="L167" i="1"/>
  <c r="I167" i="1"/>
  <c r="I166" i="1"/>
  <c r="L166" i="1" s="1"/>
  <c r="L165" i="1"/>
  <c r="L164" i="1"/>
  <c r="L163" i="1"/>
  <c r="L159" i="1"/>
  <c r="L158" i="1"/>
  <c r="L157" i="1"/>
  <c r="L156" i="1"/>
  <c r="L155" i="1"/>
  <c r="I155" i="1"/>
  <c r="L154" i="1"/>
  <c r="I153" i="1"/>
  <c r="L153" i="1" s="1"/>
  <c r="L152" i="1"/>
  <c r="L151" i="1"/>
  <c r="L150" i="1"/>
  <c r="L149" i="1"/>
  <c r="L148" i="1"/>
  <c r="I147" i="1"/>
  <c r="L147" i="1" s="1"/>
  <c r="L146" i="1"/>
  <c r="L145" i="1"/>
  <c r="I145" i="1"/>
  <c r="I144" i="1"/>
  <c r="L144" i="1" s="1"/>
  <c r="L143" i="1"/>
  <c r="L142" i="1"/>
  <c r="L141" i="1"/>
  <c r="L140" i="1"/>
  <c r="L139" i="1"/>
  <c r="L138" i="1"/>
  <c r="L137" i="1"/>
  <c r="L136" i="1"/>
  <c r="I136" i="1"/>
  <c r="I135" i="1"/>
  <c r="L135" i="1" s="1"/>
  <c r="L134" i="1"/>
  <c r="I134" i="1"/>
  <c r="I133" i="1"/>
  <c r="L133" i="1" s="1"/>
  <c r="L132" i="1"/>
  <c r="I132" i="1"/>
  <c r="I131" i="1"/>
  <c r="L131" i="1" s="1"/>
  <c r="L130" i="1"/>
  <c r="L129" i="1"/>
  <c r="I129" i="1"/>
  <c r="L128" i="1"/>
  <c r="L127" i="1"/>
  <c r="L126" i="1"/>
  <c r="I126" i="1"/>
  <c r="L125" i="1"/>
  <c r="L124" i="1"/>
  <c r="L123" i="1"/>
  <c r="L122" i="1"/>
  <c r="L121" i="1"/>
  <c r="L120" i="1"/>
  <c r="L119" i="1"/>
  <c r="L118" i="1"/>
  <c r="L117" i="1"/>
  <c r="L116" i="1"/>
  <c r="L115" i="1"/>
  <c r="L114" i="1"/>
  <c r="L113" i="1"/>
  <c r="L112" i="1"/>
  <c r="L111" i="1"/>
  <c r="L110" i="1"/>
  <c r="L109" i="1"/>
  <c r="L108" i="1"/>
  <c r="L107" i="1"/>
  <c r="I106" i="1"/>
  <c r="L106" i="1" s="1"/>
  <c r="L105" i="1"/>
  <c r="L104" i="1"/>
  <c r="I103" i="1"/>
  <c r="L103" i="1" s="1"/>
  <c r="L102" i="1"/>
  <c r="L101" i="1"/>
  <c r="L100" i="1"/>
  <c r="L99" i="1"/>
  <c r="L98" i="1"/>
  <c r="I98" i="1"/>
  <c r="I97" i="1"/>
  <c r="L97" i="1" s="1"/>
  <c r="L96" i="1"/>
  <c r="L95" i="1"/>
  <c r="L94" i="1"/>
  <c r="L93" i="1"/>
  <c r="L92" i="1"/>
  <c r="L91" i="1"/>
  <c r="L90" i="1"/>
  <c r="L89" i="1"/>
  <c r="L88" i="1"/>
  <c r="L87" i="1"/>
  <c r="L86" i="1"/>
  <c r="L85" i="1"/>
  <c r="L84" i="1"/>
  <c r="I84" i="1"/>
  <c r="L83" i="1"/>
  <c r="L82" i="1"/>
  <c r="L81" i="1"/>
  <c r="L80" i="1"/>
  <c r="L79" i="1"/>
  <c r="L78" i="1"/>
  <c r="L77" i="1"/>
  <c r="L76" i="1"/>
  <c r="I75" i="1"/>
  <c r="L75" i="1" s="1"/>
  <c r="L74" i="1"/>
  <c r="L73" i="1"/>
  <c r="L72" i="1"/>
  <c r="L71" i="1"/>
  <c r="L70" i="1"/>
  <c r="L69" i="1"/>
  <c r="L68" i="1"/>
  <c r="L67" i="1"/>
  <c r="L66" i="1"/>
  <c r="L65" i="1"/>
  <c r="L64" i="1"/>
  <c r="L63" i="1"/>
  <c r="L62" i="1"/>
  <c r="L61" i="1"/>
  <c r="L60" i="1"/>
  <c r="I59" i="1"/>
  <c r="L59" i="1" s="1"/>
  <c r="L58" i="1"/>
  <c r="L57" i="1"/>
  <c r="L56" i="1"/>
  <c r="L55" i="1"/>
  <c r="L54" i="1"/>
  <c r="I54" i="1"/>
  <c r="L53" i="1"/>
  <c r="L52" i="1"/>
  <c r="L51" i="1"/>
  <c r="L50" i="1"/>
  <c r="L49" i="1"/>
  <c r="L48" i="1"/>
  <c r="L47" i="1"/>
  <c r="I47" i="1"/>
  <c r="I46" i="1"/>
  <c r="L46" i="1" s="1"/>
  <c r="L45" i="1"/>
  <c r="L44" i="1"/>
  <c r="I43" i="1"/>
  <c r="L43" i="1" s="1"/>
  <c r="L42" i="1"/>
  <c r="L41" i="1"/>
  <c r="L40" i="1"/>
  <c r="L39" i="1"/>
  <c r="L38" i="1"/>
  <c r="L36" i="1"/>
  <c r="I35" i="1"/>
  <c r="L35" i="1" s="1"/>
  <c r="L34" i="1"/>
  <c r="L33" i="1"/>
  <c r="L32" i="1"/>
  <c r="L31" i="1"/>
  <c r="L30" i="1"/>
  <c r="L29" i="1"/>
  <c r="L28" i="1"/>
  <c r="L27" i="1"/>
  <c r="L26" i="1"/>
  <c r="L25" i="1"/>
  <c r="I24" i="1"/>
  <c r="L24" i="1" s="1"/>
  <c r="L23" i="1"/>
  <c r="L22" i="1"/>
  <c r="L21" i="1"/>
  <c r="L20" i="1"/>
  <c r="L19" i="1"/>
  <c r="L18" i="1"/>
  <c r="L17" i="1"/>
  <c r="L16" i="1"/>
  <c r="I16" i="1"/>
  <c r="L15" i="1"/>
  <c r="L14" i="1"/>
  <c r="L13" i="1"/>
  <c r="L11" i="1"/>
  <c r="L10" i="1"/>
  <c r="L9" i="1"/>
  <c r="L8" i="1"/>
  <c r="L7" i="1"/>
  <c r="L6" i="1"/>
  <c r="L5" i="1"/>
  <c r="L4" i="1"/>
  <c r="L3" i="1"/>
  <c r="I2" i="1"/>
  <c r="L2"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Gallagher Jr, Elijah E - Wilkes Barre, PA</author>
    <author>tc={3336643A-54CC-4667-B9CF-EFBE0F3EB319}</author>
    <author>tc={8863D8F8-2A66-4583-93C9-214AF30555AB}</author>
  </authors>
  <commentList>
    <comment ref="A89" authorId="0" shapeId="0" xr:uid="{8CA82626-7F1C-4490-A328-2628B3917155}">
      <text>
        <r>
          <rPr>
            <b/>
            <sz val="9"/>
            <color indexed="81"/>
            <rFont val="Tahoma"/>
            <family val="2"/>
          </rPr>
          <t>Gallagher Jr, Elijah E - Wilkes Barre, PA:</t>
        </r>
        <r>
          <rPr>
            <sz val="9"/>
            <color indexed="81"/>
            <rFont val="Tahoma"/>
            <family val="2"/>
          </rPr>
          <t xml:space="preserve">
Asked Lauren (Teams chat: Mailer Review, Letters &amp; Flats)  if this is still an issue; I thought this was fixed.</t>
        </r>
      </text>
    </comment>
    <comment ref="M92" authorId="1" shapeId="0" xr:uid="{3336643A-54CC-4667-B9CF-EFBE0F3EB319}">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@Sromovski, Thomas J - Wilkes Barre, PA “Please use 661152 line 46 on the eBuy”</t>
      </text>
    </comment>
    <comment ref="M93" authorId="2" shapeId="0" xr:uid="{8863D8F8-2A66-4583-93C9-214AF30555A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@Sromovski, Thomas J - Wilkes Barre, PA “Please use 661152 line 46 on the eBuy”</t>
      </text>
    </comment>
    <comment ref="N372" authorId="0" shapeId="0" xr:uid="{D5956B82-3814-4633-8BD3-73FDCB4E4832}">
      <text>
        <r>
          <rPr>
            <b/>
            <sz val="9"/>
            <color indexed="81"/>
            <rFont val="Tahoma"/>
            <family val="2"/>
          </rPr>
          <t>IV-MTR: 1/11/25</t>
        </r>
      </text>
    </comment>
    <comment ref="N378" authorId="0" shapeId="0" xr:uid="{97E5C39B-9F5C-41ED-83A7-877C4E5CDA0F}">
      <text>
        <r>
          <rPr>
            <b/>
            <sz val="9"/>
            <color indexed="81"/>
            <rFont val="Tahoma"/>
            <family val="2"/>
          </rPr>
          <t>IV-MTR:  1/11/25</t>
        </r>
      </text>
    </comment>
    <comment ref="N381" authorId="0" shapeId="0" xr:uid="{1019040F-B3E0-42DA-8BC9-ADFDE0FACEBC}">
      <text>
        <r>
          <rPr>
            <sz val="9"/>
            <color indexed="81"/>
            <rFont val="Tahoma"/>
            <family val="2"/>
          </rPr>
          <t>IV-MTR: 1/11/25</t>
        </r>
      </text>
    </comment>
    <comment ref="N400" authorId="0" shapeId="0" xr:uid="{9E05BA32-75A7-4BF8-B947-2CB7262F4850}">
      <text>
        <r>
          <rPr>
            <b/>
            <sz val="9"/>
            <color indexed="81"/>
            <rFont val="Tahoma"/>
            <family val="2"/>
          </rPr>
          <t>Need IV-MTR date</t>
        </r>
      </text>
    </comment>
  </commentList>
</comments>
</file>

<file path=xl/sharedStrings.xml><?xml version="1.0" encoding="utf-8"?>
<sst xmlns="http://schemas.openxmlformats.org/spreadsheetml/2006/main" count="5126" uniqueCount="1716">
  <si>
    <t>ID</t>
  </si>
  <si>
    <t>Priority #</t>
  </si>
  <si>
    <t>Bus Pri</t>
  </si>
  <si>
    <t>Feature</t>
  </si>
  <si>
    <t>Customer / Project</t>
  </si>
  <si>
    <t>Service(s)</t>
  </si>
  <si>
    <t>Feature Type</t>
  </si>
  <si>
    <t>Description
IT Notes/Comments</t>
  </si>
  <si>
    <t>ROM Total</t>
  </si>
  <si>
    <t xml:space="preserve">Funding </t>
  </si>
  <si>
    <t>SolArch, Req</t>
  </si>
  <si>
    <t>Deploy Hours</t>
  </si>
  <si>
    <t>Status</t>
  </si>
  <si>
    <t>Target Date</t>
  </si>
  <si>
    <t>Release</t>
  </si>
  <si>
    <t>Item Submitted By</t>
  </si>
  <si>
    <t>Date of Submission</t>
  </si>
  <si>
    <t>Data and Reporting
CCB Entry</t>
  </si>
  <si>
    <t>Data and Reporting
ALM Req</t>
  </si>
  <si>
    <t>Data and Reporting 
V1 Story</t>
  </si>
  <si>
    <t>Data and Reporting
RAID Release Tab</t>
  </si>
  <si>
    <t>Amazon Overlabel</t>
  </si>
  <si>
    <t>Amazon, AFS Get Well</t>
  </si>
  <si>
    <t>Manifest, Payment, Pricing</t>
  </si>
  <si>
    <t>Enhancement</t>
  </si>
  <si>
    <t>Amazon Integration - TRC DAR</t>
  </si>
  <si>
    <t>FIN</t>
  </si>
  <si>
    <t>Jeff / Zoheb</t>
  </si>
  <si>
    <t>Financial Review</t>
  </si>
  <si>
    <t>R29.0.0.0</t>
  </si>
  <si>
    <t>Amazon Reports - Adhoc Charges Visibility</t>
  </si>
  <si>
    <t>Amazon, Matt J</t>
  </si>
  <si>
    <t>Reporting</t>
  </si>
  <si>
    <t>Bus Enhancement</t>
  </si>
  <si>
    <t>The idea/thought process right now is to :
1) Enable the Disputes Details Report to external users as well
2) Add a new tab on the disputes details report to list out adhoc adjustments (including Sunday delivery) on this new tab
3) Add a single line entry that summarizes these adhoc adjustments to the Monthly Account Summary and Monthly Adjustment Summary tabs
I had a brief discussion about this with Matt and this is where Matt and I came up with this idea of a new tab on the disputes detail report Vs adding adhoc adjustments to the Monthly Adjustments Summary tab.</t>
  </si>
  <si>
    <t>N</t>
  </si>
  <si>
    <t>Mike T</t>
  </si>
  <si>
    <t xml:space="preserve">September TLPC </t>
  </si>
  <si>
    <t>TLPC</t>
  </si>
  <si>
    <t>Pricing</t>
  </si>
  <si>
    <r>
      <rPr>
        <b/>
        <sz val="9"/>
        <color rgb="FFFF0000"/>
        <rFont val="Aptos Narrow"/>
        <family val="2"/>
        <scheme val="minor"/>
      </rPr>
      <t>DO BEFORE TLPC RELEASE in SEPT or MUST BE DONE WITH TLPC</t>
    </r>
    <r>
      <rPr>
        <sz val="9"/>
        <color rgb="FF000000"/>
        <rFont val="Aptos Narrow"/>
        <family val="2"/>
        <scheme val="minor"/>
      </rPr>
      <t xml:space="preserve"> This feature is to update the Ship's Pricing Service Pano/Err process to support the yearly Time Limited Price Change (TLPC) requests. It includes enhancements to enable the Pricing Service to handle TLPC data and updates the Label Provider Incentive process to incorporate TLPC rate changes. </t>
    </r>
    <r>
      <rPr>
        <b/>
        <sz val="9"/>
        <color rgb="FFFF0000"/>
        <rFont val="Aptos Narrow"/>
        <family val="2"/>
        <scheme val="minor"/>
      </rPr>
      <t>The work must be finished by the end of September to be ready before the TLPC rates start.</t>
    </r>
  </si>
  <si>
    <t>PC</t>
  </si>
  <si>
    <t>Zoheb</t>
  </si>
  <si>
    <t>REQ Approved</t>
  </si>
  <si>
    <t>R30.0.0.0</t>
  </si>
  <si>
    <t>Julie D</t>
  </si>
  <si>
    <t>Automate Non-mailable Fee</t>
  </si>
  <si>
    <t>Pricing, Verify, Data (test only), Reporting (test only)</t>
  </si>
  <si>
    <t>Gap - C</t>
  </si>
  <si>
    <t>Manifests with nonmailable weights priced incorrectly. Tentative for July PC?</t>
  </si>
  <si>
    <t>Jeff/Zoheb</t>
  </si>
  <si>
    <t>Include Pricing Failures in PEW</t>
  </si>
  <si>
    <t>AFS Get Well, DHL</t>
  </si>
  <si>
    <t>Pricing, Manifest, PEW</t>
  </si>
  <si>
    <t>This feature will address the instances in Pricing where a package fails to price for a previously unknown reason and the error is not sent to PEW causing incomplete PEW files to mailers. This will create a catch all mechanism to capture and assign these errors for mailer visibility.</t>
  </si>
  <si>
    <t>Michael R/Pete/Heather</t>
  </si>
  <si>
    <t>Solutioning</t>
  </si>
  <si>
    <t>Marcus Y</t>
  </si>
  <si>
    <r>
      <rPr>
        <b/>
        <sz val="9"/>
        <color theme="1"/>
        <rFont val="Aptos Narrow"/>
        <family val="2"/>
        <scheme val="minor"/>
      </rPr>
      <t>Census &amp; Trusted Scale -</t>
    </r>
    <r>
      <rPr>
        <sz val="9"/>
        <color theme="1"/>
        <rFont val="Aptos Narrow"/>
        <family val="2"/>
        <scheme val="minor"/>
      </rPr>
      <t xml:space="preserve"> Use provided machine trust indicator (weight)</t>
    </r>
  </si>
  <si>
    <t>CTO; Reduce Disputes</t>
  </si>
  <si>
    <t>Scan, Trusted Scales</t>
  </si>
  <si>
    <t>This feature is to add a new data attribute to the Ship interface with OPD for the MPE Trusted Weight flag, which will determine whether a scan is trusted. When this new field is set, the scan will not be considered trusted, regardless of the trust score.</t>
  </si>
  <si>
    <t>Pete, Karla/Heather</t>
  </si>
  <si>
    <t>REQs Writing</t>
  </si>
  <si>
    <t>Test Automation - Fraud</t>
  </si>
  <si>
    <t>AFS Get Well</t>
  </si>
  <si>
    <t>Fraud</t>
  </si>
  <si>
    <t>Test Automation Coverage Expansion - Full Coverage for Fraud</t>
  </si>
  <si>
    <t>Pete / Mike N/Heather</t>
  </si>
  <si>
    <t>Scheduled</t>
  </si>
  <si>
    <t>Integrate Fraud Service with EMS</t>
  </si>
  <si>
    <t>CIO, AFS Get Well</t>
  </si>
  <si>
    <t>Fraud Service integration with EMS</t>
  </si>
  <si>
    <t>Jo Anne Salerno</t>
  </si>
  <si>
    <t>Pete</t>
  </si>
  <si>
    <t>Integrate Manifest Services with EMS</t>
  </si>
  <si>
    <t>CIO</t>
  </si>
  <si>
    <t>Manifest</t>
  </si>
  <si>
    <t>FY27</t>
  </si>
  <si>
    <t>Transaction Details Report Data Migration (ID 491 Phase 2)</t>
  </si>
  <si>
    <t>TechDebt</t>
  </si>
  <si>
    <t>IT Enhancement</t>
  </si>
  <si>
    <t>This feature is to move the Transaction Details Report (online) to source its data from the Reporting Services Database as part of Phase 2 enhancements, identified by RAID ID 491.</t>
  </si>
  <si>
    <t>Phalgun</t>
  </si>
  <si>
    <t>Update Misshipped logic to use 'event_datetime' column</t>
  </si>
  <si>
    <t>Scan, Verify, Data</t>
  </si>
  <si>
    <t>After review of March/April data with DHL, the 'scan_destination_zip_code' column is referencing the 'create_datetime' column to get ordering. This is problematic as the datetime comes in late and effects the sequence. This feature will implement new logic to use the 'event_datetime' column instead to maintain a more accurate time signature of scan events.</t>
  </si>
  <si>
    <t>Karla</t>
  </si>
  <si>
    <t>Jess S</t>
  </si>
  <si>
    <t>Carbon Accounting Dashboard update to Carbon Emission Average (g/kg) + other cosmetic enhancements</t>
  </si>
  <si>
    <t>Reporting, Carbon Reporting</t>
  </si>
  <si>
    <t>This feature updates the Carbon Accounting Dashboard by correcting the displayed unit for average carbon emission weights from grams to kilograms. This is a display-only text change to ensure accurate and clear representation of emission data.</t>
  </si>
  <si>
    <t>Phalgun/Heather</t>
  </si>
  <si>
    <t>Larry Baccari</t>
  </si>
  <si>
    <t>Synchronize IV-MTR Census Data Feed with Ship Online Census Report - (to include PIC)</t>
  </si>
  <si>
    <t>Data, IV-MTR</t>
  </si>
  <si>
    <t>This enhancement synchronizes the Census Data feed so that all possible data elements existing in the Ship online report can be provisioned in the data feed as well.</t>
  </si>
  <si>
    <t>Phalgun / Heather (B-1066493)</t>
  </si>
  <si>
    <t>TengAn Yu</t>
  </si>
  <si>
    <r>
      <rPr>
        <b/>
        <sz val="9"/>
        <color theme="1"/>
        <rFont val="Aptos Narrow"/>
        <family val="2"/>
        <scheme val="minor"/>
      </rPr>
      <t xml:space="preserve">Unused Labels - </t>
    </r>
    <r>
      <rPr>
        <sz val="9"/>
        <color theme="1"/>
        <rFont val="Aptos Narrow"/>
        <family val="2"/>
        <scheme val="minor"/>
      </rPr>
      <t>Pending Unused Labels receiving scans should have their pending Refunds canceled (should be done in conjunction w/ #543)</t>
    </r>
  </si>
  <si>
    <r>
      <t xml:space="preserve">Shippo; PB; </t>
    </r>
    <r>
      <rPr>
        <sz val="9"/>
        <rFont val="Aptos Narrow"/>
        <family val="2"/>
        <scheme val="minor"/>
      </rPr>
      <t>UL</t>
    </r>
  </si>
  <si>
    <t>Payment, Mailer Review, Data, Reporting</t>
  </si>
  <si>
    <t>Currently, when Payment receives an unused label refund message, it begins a 14 day waiting period before issuing the refund.  During this waiting period, if upstream services detect scans that would indicate the PIC has actually been used, Verify sends a short-paid message to Payment with the "root cause" being "Used Refunded Label" and then Payment issues a short-paid postage adjustment for the postage.  This can result in a situation where the mailer has first been charged for the manifest, then gets charged for the label being a Used Refunded Label, and then being issued the Unused Label Refund.  Instead of charging for the Used Refunded Label, the system should instead reject the not yet refunded Unused Label Request so that the mailer only pays for the initial manifest and does not pay the shortpaid and does not get refunded  for the unused label message.  In that situation, all reports, data feeds, webhooks, etc. need to show Status = “Rejected”.
Note:  Formerly tracked with stories B-956767, B-956769, B-95670, B-956776 and B-958227.  These stories are old and no longer represent the desired solution.  They can be revised or closed.</t>
  </si>
  <si>
    <t>Jeff</t>
  </si>
  <si>
    <t>TBD</t>
  </si>
  <si>
    <r>
      <rPr>
        <b/>
        <sz val="9"/>
        <color rgb="FF000000"/>
        <rFont val="Aptos Narrow"/>
        <family val="2"/>
        <scheme val="minor"/>
      </rPr>
      <t>Unused Labels</t>
    </r>
    <r>
      <rPr>
        <sz val="9"/>
        <color rgb="FF000000"/>
        <rFont val="Aptos Narrow"/>
        <family val="2"/>
        <scheme val="minor"/>
      </rPr>
      <t xml:space="preserve"> - API Response Accuracy Improvement (should be done in conjunction w/ #384)</t>
    </r>
  </si>
  <si>
    <t>Mailer Review, Payment, Data, Reporting</t>
  </si>
  <si>
    <t xml:space="preserve">The issue at hand involves the Mailer Review Service's Unused Label API response, which is currently providing immediate feedback, while the actual refund transactions are delayed by 14 days, per requirements.  However, customers are receiving immediate API responses indicating that their refunds are approved, leading them to process refunds for their customers without actually seeing the funds returned for 14 days. The goal is to ensure that the API response accurately reflects the payment process in Ship, avoiding any misleading information about refund approvals.  To that end, we need changes to the status in the UL process to be reflected in the MR API -- 
a.	When a UL refund passes edits and is sent to Payment (to wait 14 days), the Status needs to be changed to “Pending” (it’s currently “Accepted”)
b.	When Payment sends to EPS after the 14 days, the Status needs to be changed to “Approved” (it’s currently “Accepted”).
</t>
  </si>
  <si>
    <t xml:space="preserve">Manifest, PEW, Pricing Observability integration with Monitoring service </t>
  </si>
  <si>
    <t>Pricing, Manifest, PEW, Monitoring</t>
  </si>
  <si>
    <t>Manifest, PEW, Pricing complete integration with Monitoring Service</t>
  </si>
  <si>
    <t>Pete/Heather</t>
  </si>
  <si>
    <t>New</t>
  </si>
  <si>
    <t>Migrate from Gitlab to Github.com</t>
  </si>
  <si>
    <t>Fraud, Malier Review, Manifest, Monitoring, Pricing, Scan, Verify, Data, Reporting, Payment, Acct Mgmt</t>
  </si>
  <si>
    <t xml:space="preserve">Jae / Jeff / Michael R / Ian / Heather </t>
  </si>
  <si>
    <t>Needs Solutioning</t>
  </si>
  <si>
    <t>Update non-Akka components to standard Akka</t>
  </si>
  <si>
    <t>Fraud, Malier Review, Manifest, Monitoring, Pricing, Scan, Verify</t>
  </si>
  <si>
    <t>Update non-Akka components to standard akka components (e.g., S3/DB writers)</t>
  </si>
  <si>
    <t>Simplified Monthly Assessment Override Reporting</t>
  </si>
  <si>
    <t>DHL</t>
  </si>
  <si>
    <t>Reporting, Data, (IVMTR later date)</t>
  </si>
  <si>
    <t>This feature is to simplify reporting for monthly assessment overrides. When an override is performed on any monthly assessment, instead of sending details for every package, a single adjustment will be created for each mail class or assessment type. Only this one adjustment will be displayed in the reporting.</t>
  </si>
  <si>
    <t>Y</t>
  </si>
  <si>
    <t>Phalgun/Heather (Zoheb: E-109775; HB: E-108510)</t>
  </si>
  <si>
    <t>Enterprise Pricing NSA Exception - Legacy Rounding Rules</t>
  </si>
  <si>
    <t>Enterprise Pricing</t>
  </si>
  <si>
    <t>This feature will update Enterprise Pricing to allow the custom rounding rules for dimensions to be used in Enterprise Pricing. This is related to BNS 268527 DIM Divisor &amp; Rounding Rule Changes</t>
  </si>
  <si>
    <r>
      <rPr>
        <b/>
        <sz val="9"/>
        <color theme="1"/>
        <rFont val="Aptos Narrow"/>
        <family val="2"/>
        <scheme val="minor"/>
      </rPr>
      <t>Census</t>
    </r>
    <r>
      <rPr>
        <sz val="9"/>
        <color theme="1"/>
        <rFont val="Aptos Narrow"/>
        <family val="2"/>
        <scheme val="minor"/>
      </rPr>
      <t xml:space="preserve"> - Use trusted scan closest to manifest for dims</t>
    </r>
  </si>
  <si>
    <t>Matt J; Reduce Disputes</t>
  </si>
  <si>
    <t>Scan, Verify</t>
  </si>
  <si>
    <t>Follow on to RAID 539: Census logic enhancements (Reduce disputes) - Use Multiple Trusted Scans to ensure census charges are as accurate as possible; see email thread "RE: Census Logic Updates Stories"</t>
  </si>
  <si>
    <t>Marcus Young</t>
  </si>
  <si>
    <r>
      <rPr>
        <b/>
        <sz val="9"/>
        <color theme="1"/>
        <rFont val="Aptos Narrow"/>
        <family val="2"/>
        <scheme val="minor"/>
      </rPr>
      <t>Census</t>
    </r>
    <r>
      <rPr>
        <sz val="9"/>
        <color theme="1"/>
        <rFont val="Aptos Narrow"/>
        <family val="2"/>
        <scheme val="minor"/>
      </rPr>
      <t xml:space="preserve"> - Maximum Dimensions Compliance for PASS</t>
    </r>
  </si>
  <si>
    <t>Reduce Disputes</t>
  </si>
  <si>
    <t>Scan</t>
  </si>
  <si>
    <t>This feature is to ensure that dimensions used in the context of RAID 416 do not exceed the maximum limits, thereby enhancing performance and reliability.
[#416: Add maximum dimensions by MPE referential data to override trust score when trusted dims exceed max dims]</t>
  </si>
  <si>
    <r>
      <rPr>
        <b/>
        <sz val="9"/>
        <color theme="1"/>
        <rFont val="Aptos Narrow"/>
        <family val="2"/>
        <scheme val="minor"/>
      </rPr>
      <t>Census</t>
    </r>
    <r>
      <rPr>
        <sz val="9"/>
        <color theme="1"/>
        <rFont val="Aptos Narrow"/>
        <family val="2"/>
        <scheme val="minor"/>
      </rPr>
      <t xml:space="preserve"> - Multi-Machine or Timed UPC Verification</t>
    </r>
  </si>
  <si>
    <t>This feature is to enhance the current scanning logic by updating the requirement for two UPC scans to ignore trusted scans. Instead of simply needing two UPCs for a PIC, the system will now require that the two scans come from either different machines or be at least 5 minutes apart. Additionally, the 5-minute time threshold will be set as a global configurable value, meaning it cannot be adjusted by individual shippers or MPE types.</t>
  </si>
  <si>
    <t>Jae --&gt; Karla</t>
  </si>
  <si>
    <t>Pete G</t>
  </si>
  <si>
    <r>
      <rPr>
        <b/>
        <sz val="9"/>
        <rFont val="Aptos Narrow"/>
        <family val="2"/>
        <scheme val="minor"/>
      </rPr>
      <t>Census</t>
    </r>
    <r>
      <rPr>
        <sz val="9"/>
        <rFont val="Aptos Narrow"/>
        <family val="2"/>
        <scheme val="minor"/>
      </rPr>
      <t xml:space="preserve"> - Change trust scores (reduce from 70% for weight, and 95% for dims)</t>
    </r>
  </si>
  <si>
    <t>Discussion needed on changing any trust scores (reduce from 70% for weight, and 95% for dims)</t>
  </si>
  <si>
    <r>
      <rPr>
        <b/>
        <sz val="9"/>
        <color theme="1"/>
        <rFont val="Aptos Narrow"/>
        <family val="2"/>
        <scheme val="minor"/>
      </rPr>
      <t>Trusted Scales</t>
    </r>
    <r>
      <rPr>
        <sz val="9"/>
        <color theme="1"/>
        <rFont val="Aptos Narrow"/>
        <family val="2"/>
        <scheme val="minor"/>
      </rPr>
      <t xml:space="preserve"> - Dimensional outlier logic; When the package has a UPC with known dims, use that and override any trusted scans</t>
    </r>
  </si>
  <si>
    <t>Trusted Scales</t>
  </si>
  <si>
    <t>ROM submitted 8/14 by Julie. Part of ROM covered in RAID 416</t>
  </si>
  <si>
    <t>Implement Misshipped Al Model - Validate updated legacy misshipped model</t>
  </si>
  <si>
    <t>Verify</t>
  </si>
  <si>
    <t>Implement Misshipped Al Model - Validate updated legacy misshipped model which has been enhanced with business rules discovered during AI model discovery</t>
  </si>
  <si>
    <t xml:space="preserve">Observability for Scans, Trusted Scales, Verify, Fraud integration with Monitorin Service </t>
  </si>
  <si>
    <t>Monitoring, Scan, Trusted Scales, Verify</t>
  </si>
  <si>
    <t>Scans, Trusted Scales, Verify, Fraud integration with Monitoring</t>
  </si>
  <si>
    <t>Test Automation - Scans</t>
  </si>
  <si>
    <t>Test Automation Coverage Expansion - Full Coverage for Scans</t>
  </si>
  <si>
    <t>Pete/Tosin</t>
  </si>
  <si>
    <t>Test Automation - Manifest</t>
  </si>
  <si>
    <t>Test Automation Coverage Expansion - Full Coverage for Manifest</t>
  </si>
  <si>
    <t>Test Automation - Reporting</t>
  </si>
  <si>
    <t>Test Automation Coverage Expansion - Full Coverage for Reporting</t>
  </si>
  <si>
    <t>Test Automation - Data</t>
  </si>
  <si>
    <t>Data</t>
  </si>
  <si>
    <t>Test Automation Coverage Expansion - Full Coverage for Data</t>
  </si>
  <si>
    <t>Test Automation - Acct Mgmt</t>
  </si>
  <si>
    <t>Acct Mgmt</t>
  </si>
  <si>
    <t>Test Automation Coverage Expansion - Full Coverage for Acct Mgmt</t>
  </si>
  <si>
    <t>OPD to EEB Migration</t>
  </si>
  <si>
    <t>Scan, Verify, Manifest</t>
  </si>
  <si>
    <r>
      <rPr>
        <b/>
        <sz val="9"/>
        <color rgb="FFFF0000"/>
        <rFont val="Aptos Narrow"/>
        <family val="2"/>
        <scheme val="minor"/>
      </rPr>
      <t xml:space="preserve">Tell Mike Pifer SIT/CAT dates.  </t>
    </r>
    <r>
      <rPr>
        <sz val="9"/>
        <color rgb="FF000000"/>
        <rFont val="Aptos Narrow"/>
        <family val="2"/>
        <scheme val="minor"/>
      </rPr>
      <t xml:space="preserve">11/24 - 2 Ship impacts: (1) Scan to ingest scans (at least AD events) via EEB (2) Verify to calculate IMpb Compliance for PC Postage mailers. Per PTR IT, this needs to be done prior to PTR1 retirement end of FY26.
</t>
    </r>
    <r>
      <rPr>
        <sz val="9"/>
        <color rgb="FFFF0000"/>
        <rFont val="Aptos Narrow"/>
        <family val="2"/>
        <scheme val="minor"/>
      </rPr>
      <t xml:space="preserve">
NOTE: PTR 2 will work with apps individually on cutting over to use the new feeds in production.  Until then you should continue to pull data from the legacy PTR.  
</t>
    </r>
    <r>
      <rPr>
        <sz val="9"/>
        <color rgb="FF000000"/>
        <rFont val="Aptos Narrow"/>
        <family val="2"/>
        <scheme val="minor"/>
      </rPr>
      <t xml:space="preserve">Contact: Mike Pifer &amp; PTR2InterfacingSupport@usps365.onmicrosoft.com   Link to details of project here: https://usps365.sharepoint.com/sites/EnterpriseDataHub/Shared Documents/Forms/AllItems.aspx?id=%2fsites%2fEnterpriseDataHub%2fShared+Documents%2fPTR2+Modernization%2fDownstream+Sources&amp;viewid=368570c7-af69-44af-9950-c60739825d0c&amp;as=json&amp;xsdata=MDV8MDJ8TWljaGVsbGUuTS5Xb29keUB1c3BzLmdvdnxkZjA3ODgxZmQyZTU0Mzk5MDhlYjA4ZGUwNWIzNWNhOXxmOWFhNTc4OGViMzM0YTQ5OGFkMDc2MTAxOTEwY2FjM3wwfDB8NjM4OTU0NDY1MjE5MDkxMzAxfFVua25vd258VFdGcGJHWnNiM2Q4ZXlKRmJYQjBlVTFoY0draU9uUnlkV1VzSWxZaU9pSXdMakF1TURBd01DSXNJbEFpT2lKWGFXNHpNaUlzSWtGT0lqb2lUV0ZwYkNJc0lsZFVJam95ZlE9PXwwfHx8&amp;sdata=VFg0anNwWEVRK2l1ZTU4RWN5cGh6MXdEcjhha3hWZTljK0t6N294dnl0dz0%3d </t>
    </r>
  </si>
  <si>
    <t>Allow Proxy Payers for Ship Assessments &amp; Charge Monthly Assessments to Payer CRID</t>
  </si>
  <si>
    <t>Shippo</t>
  </si>
  <si>
    <t>Account Management, Payment, Verify, Scan, Pricing, Reporting</t>
  </si>
  <si>
    <t>This feature will change the process for charging customers. Currently, Ship monthly assessments always charges the label owner. With this change, the payer from the manifest will always be charged, when available. If there is no manifest, Ship will continue charging the label owner. This feature enhances the platform’s ability to assess unmanifested volume for shippers using customer MIDs in their barcodes.  Email Chain: "Re: URGENT: Shippo major issues with USPS Ship - assessments charged to Shippo customers, not Shippo"</t>
  </si>
  <si>
    <t>Linda M</t>
  </si>
  <si>
    <t>Label Provider Incentives - Exclude International</t>
  </si>
  <si>
    <t>Alexandra</t>
  </si>
  <si>
    <t xml:space="preserve">This feature will exclude international products at the request of Alexandra Robleto. Business wants only the following products including returns: Priority Mail Express, Priority Mail, Ground Advantage. </t>
  </si>
  <si>
    <t>Jae</t>
  </si>
  <si>
    <t>Jeff A</t>
  </si>
  <si>
    <t>Ignore certain STCs</t>
  </si>
  <si>
    <t>Scan, Verify, Payment, Account Management</t>
  </si>
  <si>
    <t>Gap</t>
  </si>
  <si>
    <t>This feature will enable Ship to ignore PICs with certain STCs that appear like first-class packages but are paid thru PostalOne so that they are not charged Unmanifested thru Ship. Need to identify full list of STCs. Email Thread "FW: Two possible solutions for Ship duplicate charges for BME/Meter Certified Mail &amp; Package users"</t>
  </si>
  <si>
    <t>Remove unused deployment configurations within Kubernetes</t>
  </si>
  <si>
    <t>Fraud, Malier Review, Manifest, Pricing, Scan, Verify, Reporting, Data, Acct Mgmt, Payment</t>
  </si>
  <si>
    <t>Yes</t>
  </si>
  <si>
    <t>Remove deprecated configurations</t>
  </si>
  <si>
    <t>Update Enterprise Pricing to utilize aspect ratio when calculating non-machinable fee [INC000010732827]</t>
  </si>
  <si>
    <t>This feature will update Enterprise Pricing to utilize aspect ratio when calculating non-machinable fee. This is associated with INC000010732827. Letters/Flats endpoint</t>
  </si>
  <si>
    <t>PQN Phase III - Use Address Correction SSFs for Address Quality (AQ)</t>
  </si>
  <si>
    <t>PQN</t>
  </si>
  <si>
    <t>This feature will enable Verify to ingest address correction SSFs from Manifest and use them in Package Quality Noncompliance (PQN) logic when determining whether to assess Address Quality (AQ) for a package.</t>
  </si>
  <si>
    <t>Financial Hold</t>
  </si>
  <si>
    <t xml:space="preserve">Fraud Update to include Retail Barcode (95s) in Intercept Check </t>
  </si>
  <si>
    <t>Fraud service to ingest feed of valid retail 95 barcodes and update the Intercept PIC API and Package Status API to provide appropriate fraud check responses based on this data. As of 12/1 still solutioning how Ship Fraud Service will obtain the full list of valid 95 barcodes in a timely manner.</t>
  </si>
  <si>
    <t>Mike N / Pete</t>
  </si>
  <si>
    <t>New online report to show all scans that Ship uses (need both online report and data feed?)</t>
  </si>
  <si>
    <t>DHL; Matt J</t>
  </si>
  <si>
    <t>Data, IV-MTR, Manifest, Scan, Verify</t>
  </si>
  <si>
    <r>
      <rPr>
        <b/>
        <sz val="9"/>
        <color rgb="FFFF0000"/>
        <rFont val="Aptos Narrow"/>
        <family val="2"/>
        <scheme val="minor"/>
      </rPr>
      <t>Talk with Matt J... PTR DOES THIS ALREADY - need to make sure we match them (or note when we don't)</t>
    </r>
    <r>
      <rPr>
        <sz val="9"/>
        <color rgb="FF000000"/>
        <rFont val="Aptos Narrow"/>
        <family val="2"/>
        <scheme val="minor"/>
      </rPr>
      <t xml:space="preserve"> Need BNS/CR - Request for Additional events in Duplicate report similar to EVS (Scan/Verify/Reporting) - Scans are already available in PTR.  IF ALL SCANS NEED TO BE STORED IN DATA - THAT IS TOO LARGE AND DATA WON'T BE ABLE TO HANDLE THE VOLUME. - duplicates?</t>
    </r>
  </si>
  <si>
    <t>Create a Joint Review on Monthly Assessments via API</t>
  </si>
  <si>
    <t>Etsy</t>
  </si>
  <si>
    <t>Mailer Review, ServiceNow</t>
  </si>
  <si>
    <t xml:space="preserve">Provide the ability to query if the customer has any open, pending assessments for their CRID then use a separate endpoint to create the joint review </t>
  </si>
  <si>
    <t>Disputes &amp; Refunds portal - Display Closed Disputes on Welcome Page</t>
  </si>
  <si>
    <t>Mailer Review</t>
  </si>
  <si>
    <t>This enhancement allows users to view closed disputes on the welcome page in addition to those under review. Currently, closed disputes are only accessible via the requests tab. This feature caters to DHL's request for improved visibility and accessibility of dispute statuses, providing a consolidated view directly from the welcome page. This enhancement will be addressed after resolving all other DHL-related issues, as agreed upon with the CIO.</t>
  </si>
  <si>
    <t xml:space="preserve">Jeff </t>
  </si>
  <si>
    <t>Create new ACH Debit Reconciliation Data Feed (Amazon special extract, will be for all shippers)</t>
  </si>
  <si>
    <t>Amazon</t>
  </si>
  <si>
    <t>and would need IV-MTR looped in to get their feedback/timelines/everything else</t>
  </si>
  <si>
    <t>TPB "Third Party Billing" (Outbound) Data Feeds</t>
  </si>
  <si>
    <t>DHL; Matt J; TPB</t>
  </si>
  <si>
    <t xml:space="preserve">Need BNS/CR - Per Matt on 6/25/26:  Everything from the package transaction detail report that doesn't include a $  (56 fields)
</t>
  </si>
  <si>
    <t>Jeff Mitchell</t>
  </si>
  <si>
    <t>Karla/Heather</t>
  </si>
  <si>
    <t>USPS Mobile App CNS Support</t>
  </si>
  <si>
    <t>eSAS, Manifest, Scan Verify</t>
  </si>
  <si>
    <t>This feature is to enhance and support CNS transactions created through the USPS Mobile App, providing improved ship support functionality.</t>
  </si>
  <si>
    <t>Who??</t>
  </si>
  <si>
    <t>BNS0275509 - Support Auctane's CEC model of paying net postage instead of gross postage</t>
  </si>
  <si>
    <t>Auctane</t>
  </si>
  <si>
    <t>Pricing, Payment, Verify, Data, Reporting</t>
  </si>
  <si>
    <t>This feature enhances pricing and payment processes by calculating postage using both the Merchant Rate Card (MRC) and the CEC rate card, then computing the difference as "Revenue Remeasurement." Verify would need to perform similar calculations and pass along similar elements in shortpaid/overpaid messaging. Payment would process the transaction based on the total postage (which should be the MRC-based postage). An interface between Ship and CDAS would need to be built to pass along a "JV" that reports the Revenue Remeasurement on a daily basis.</t>
  </si>
  <si>
    <t>BNS</t>
  </si>
  <si>
    <t>Jeff Avellanet</t>
  </si>
  <si>
    <r>
      <rPr>
        <b/>
        <sz val="9"/>
        <color rgb="FF000000"/>
        <rFont val="Aptos Narrow"/>
        <scheme val="minor"/>
      </rPr>
      <t>Unmanifested &amp; Duplicate</t>
    </r>
    <r>
      <rPr>
        <sz val="9"/>
        <color rgb="FF000000"/>
        <rFont val="Aptos Narrow"/>
        <scheme val="minor"/>
      </rPr>
      <t xml:space="preserve"> - Charges Always Priced at Published Rates</t>
    </r>
  </si>
  <si>
    <r>
      <t xml:space="preserve">DHL; </t>
    </r>
    <r>
      <rPr>
        <sz val="9"/>
        <rFont val="Aptos Narrow"/>
        <family val="2"/>
        <scheme val="minor"/>
      </rPr>
      <t>Reduce Disputes</t>
    </r>
  </si>
  <si>
    <t>Pricing, Verify</t>
  </si>
  <si>
    <r>
      <rPr>
        <b/>
        <sz val="9"/>
        <color rgb="FF7030A0"/>
        <rFont val="Aptos Narrow"/>
        <family val="2"/>
        <scheme val="minor"/>
      </rPr>
      <t xml:space="preserve">MATT J - TIMING OF TELLING SHIPPERS  </t>
    </r>
    <r>
      <rPr>
        <sz val="9"/>
        <color rgb="FF000000"/>
        <rFont val="Aptos Narrow"/>
        <family val="2"/>
        <scheme val="minor"/>
      </rPr>
      <t>This feature is to update the pricing of packages flagged for a Duplicate assessment so that they are always charged at published ComBase rates, ensuring they never receive NSA pricing.</t>
    </r>
  </si>
  <si>
    <r>
      <rPr>
        <b/>
        <sz val="9"/>
        <color rgb="FF000000"/>
        <rFont val="Aptos Narrow"/>
        <scheme val="minor"/>
      </rPr>
      <t>Unmanifested</t>
    </r>
    <r>
      <rPr>
        <sz val="9"/>
        <color rgb="FF000000"/>
        <rFont val="Aptos Narrow"/>
        <scheme val="minor"/>
      </rPr>
      <t xml:space="preserve"> - Require a delivery event to assess &amp; charge for an unmanifested package</t>
    </r>
  </si>
  <si>
    <t>This feature is to require a delivery event before assessing and charging an unmanifested package. It enhances the process by ensuring that unmanifested packages are only assessed if a delivery scan has occurred, excluding packages with assumed delivery. To support this, the Scan service must indicate which packages have been delivered, either by releasing packages to Verify only after delivery or by adding a flag to show delivery status. This information will help Verify decide whether to assess unmanifested packages.</t>
  </si>
  <si>
    <r>
      <rPr>
        <b/>
        <sz val="9"/>
        <color theme="1"/>
        <rFont val="Aptos Narrow"/>
        <family val="2"/>
        <scheme val="minor"/>
      </rPr>
      <t>Unmanifested</t>
    </r>
    <r>
      <rPr>
        <sz val="9"/>
        <color theme="1"/>
        <rFont val="Aptos Narrow"/>
        <family val="2"/>
        <scheme val="minor"/>
      </rPr>
      <t xml:space="preserve"> - Exclude generated Scans from Unmanifested Items</t>
    </r>
  </si>
  <si>
    <t>This feature is to exclude generated scans from unmanifested items and enhancement processes, with a need for documentation outlining what these scans are and the related business requirements.</t>
  </si>
  <si>
    <r>
      <rPr>
        <b/>
        <sz val="9"/>
        <color theme="1"/>
        <rFont val="Aptos Narrow"/>
        <family val="2"/>
        <scheme val="minor"/>
      </rPr>
      <t xml:space="preserve">Unmanifested </t>
    </r>
    <r>
      <rPr>
        <sz val="9"/>
        <color theme="1"/>
        <rFont val="Aptos Narrow"/>
        <family val="2"/>
        <scheme val="minor"/>
      </rPr>
      <t>- Look back 2 years for a manifest without a delivery event</t>
    </r>
  </si>
  <si>
    <t>DHL; Matt J; Reduce Disputes</t>
  </si>
  <si>
    <t>Manifest, Verify</t>
  </si>
  <si>
    <t>Original Epic: E-31798.  Most likely needs to be outside of the Manifest/Verify process. Possibly a separate process run with assessments on the 8th?</t>
  </si>
  <si>
    <r>
      <rPr>
        <b/>
        <sz val="9"/>
        <color rgb="FF000000"/>
        <rFont val="Aptos Narrow"/>
        <family val="2"/>
        <scheme val="minor"/>
      </rPr>
      <t>Unused Labels</t>
    </r>
    <r>
      <rPr>
        <sz val="9"/>
        <color rgb="FF000000"/>
        <rFont val="Aptos Narrow"/>
        <family val="2"/>
        <scheme val="minor"/>
      </rPr>
      <t xml:space="preserve"> - Add a 'Status' column to the online UL report</t>
    </r>
  </si>
  <si>
    <t>Data, Reporting</t>
  </si>
  <si>
    <t>This feature is to enhance the online Unused Label Report by adding a Status column.  The status column should reflect the current status of the unused label refund, whether it's Pending (meaning submitted by MR to Payment) or Approved (meaning the refund has been paid-out from Payment).</t>
  </si>
  <si>
    <t>Jeff/Heather</t>
  </si>
  <si>
    <r>
      <rPr>
        <b/>
        <sz val="9"/>
        <color theme="1"/>
        <rFont val="Aptos Narrow"/>
        <family val="2"/>
        <scheme val="minor"/>
      </rPr>
      <t xml:space="preserve">Unused Labels - </t>
    </r>
    <r>
      <rPr>
        <sz val="9"/>
        <color theme="1"/>
        <rFont val="Aptos Narrow"/>
        <family val="2"/>
        <scheme val="minor"/>
      </rPr>
      <t>Source Package MID from Unused Labels</t>
    </r>
  </si>
  <si>
    <t>UL</t>
  </si>
  <si>
    <t>Data, Reporting,  Pricing and/or Scans</t>
  </si>
  <si>
    <t>This feature is to enhance the sourcing of Package MID by obtaining it from the Pricing Response for Unused Labels, instead of the current method which sources Package MID from the Unused Labels Refund Response.</t>
  </si>
  <si>
    <t>TengAn/ Phalgun</t>
  </si>
  <si>
    <r>
      <rPr>
        <b/>
        <sz val="9"/>
        <color theme="1"/>
        <rFont val="Aptos Narrow"/>
        <family val="2"/>
        <scheme val="minor"/>
      </rPr>
      <t xml:space="preserve">Unused Labels - </t>
    </r>
    <r>
      <rPr>
        <sz val="9"/>
        <color theme="1"/>
        <rFont val="Aptos Narrow"/>
        <family val="2"/>
        <scheme val="minor"/>
      </rPr>
      <t>Add Unused Label Pic File Attachment to Mailer Review Unused Label Table Display</t>
    </r>
  </si>
  <si>
    <r>
      <t xml:space="preserve">Matt J; </t>
    </r>
    <r>
      <rPr>
        <sz val="9"/>
        <rFont val="Aptos Narrow"/>
        <family val="2"/>
        <scheme val="minor"/>
      </rPr>
      <t>UL</t>
    </r>
  </si>
  <si>
    <t>Asked for by Matt Jordan 10/8 (Show the actual file the user updated)</t>
  </si>
  <si>
    <r>
      <rPr>
        <b/>
        <sz val="9"/>
        <color theme="1"/>
        <rFont val="Aptos Narrow"/>
        <family val="2"/>
        <scheme val="minor"/>
      </rPr>
      <t xml:space="preserve">Unused Labels - </t>
    </r>
    <r>
      <rPr>
        <sz val="9"/>
        <color theme="1"/>
        <rFont val="Aptos Narrow"/>
        <family val="2"/>
        <scheme val="minor"/>
      </rPr>
      <t>submitted via the API and frontend can be against a returns CRID (Direct Integration)</t>
    </r>
  </si>
  <si>
    <t>Gap - NC</t>
  </si>
  <si>
    <r>
      <rPr>
        <b/>
        <sz val="9"/>
        <color theme="1"/>
        <rFont val="Aptos Narrow"/>
        <family val="2"/>
        <scheme val="minor"/>
      </rPr>
      <t>Duplicates, Unmanifested and Unused label data feeds</t>
    </r>
    <r>
      <rPr>
        <sz val="9"/>
        <color theme="1"/>
        <rFont val="Aptos Narrow"/>
        <family val="2"/>
        <scheme val="minor"/>
      </rPr>
      <t xml:space="preserve"> - Enhance / update to include data that is already available on the online reports</t>
    </r>
  </si>
  <si>
    <t>Enhance /update Duplicates, Unmanifested and Unused label data feeds to include data that is already available on the online reports</t>
  </si>
  <si>
    <r>
      <rPr>
        <b/>
        <sz val="9"/>
        <color theme="1"/>
        <rFont val="Aptos Narrow"/>
        <family val="2"/>
        <scheme val="minor"/>
      </rPr>
      <t xml:space="preserve">Unused Labels - </t>
    </r>
    <r>
      <rPr>
        <sz val="9"/>
        <color theme="1"/>
        <rFont val="Aptos Narrow"/>
        <family val="2"/>
        <scheme val="minor"/>
      </rPr>
      <t>Add logic for handling the Unused Label enabled flag from Account Management</t>
    </r>
  </si>
  <si>
    <t>Account Management, Mailer Review, Payment</t>
  </si>
  <si>
    <t>The Payment service should not process refunds for CRIDs with Unused Label flag disabled. Likewise, Mailer Review should not allow submissions for UL requests when the same flag is disabled.</t>
  </si>
  <si>
    <t>Automated dispute/refund requests for all customers (Adjudication)</t>
  </si>
  <si>
    <t>Census refund adjudication project</t>
  </si>
  <si>
    <r>
      <rPr>
        <b/>
        <sz val="9"/>
        <color theme="1"/>
        <rFont val="Aptos Narrow"/>
        <family val="2"/>
        <scheme val="minor"/>
      </rPr>
      <t xml:space="preserve">Unused Labels - </t>
    </r>
    <r>
      <rPr>
        <sz val="9"/>
        <color theme="1"/>
        <rFont val="Aptos Narrow"/>
        <family val="2"/>
        <scheme val="minor"/>
      </rPr>
      <t>Fraud Intercept Refunded Labels Enhancement</t>
    </r>
  </si>
  <si>
    <t>Fraud; UL</t>
  </si>
  <si>
    <t>Fraud, Verify, Scan</t>
  </si>
  <si>
    <t>This enhancement introduces key improvements to the USPS Ship microservices by implementing checks for refunded status in API requests related to mail piece interception.
InterceptPic API Requests: The USPS Ship system will now verify if any IMpbs (Intelligent Mail package barcodes) have a refunded status during InterceptPic API requests. If a mail piece is identified as refunded, it will be treated as blacklisted, allowing for successful interception.
PackageStatus API Requests: Similarly, the USPS Ship system will check for refunded status in PackageStatus API requests. Any IMpbs flagged as refunded will also be blacklisted, ensuring that these mail pieces can be intercepted effectively.
This enhancement aims to mitigate fraud by preventing the interception of refunded mail pieces, thereby improving the integrity of the USPS Ship service.
Stories associated with this feature have been created in V1 under ticket E-100639</t>
  </si>
  <si>
    <r>
      <rPr>
        <b/>
        <sz val="9"/>
        <color theme="1"/>
        <rFont val="Aptos Narrow"/>
        <family val="2"/>
        <scheme val="minor"/>
      </rPr>
      <t>Unmanifested Report -</t>
    </r>
    <r>
      <rPr>
        <sz val="9"/>
        <color theme="1"/>
        <rFont val="Aptos Narrow"/>
        <family val="2"/>
        <scheme val="minor"/>
      </rPr>
      <t xml:space="preserve"> Incorrectly displaying unmanifested packages across multiple months</t>
    </r>
  </si>
  <si>
    <t>Customer</t>
  </si>
  <si>
    <t>Reporting, Verify</t>
  </si>
  <si>
    <t>B-959233, B-959234, B-959236, B-959237</t>
  </si>
  <si>
    <t>Reports: drop all, drop an uploaded list, drop a list we input, etc (see also #502)</t>
  </si>
  <si>
    <t>Matt J</t>
  </si>
  <si>
    <t>Need BNS/CR. We need this so we can keep reporting accurate to what we're actually charging - see large accounts where we drop huge numbers of unmanifested fraud, etc.</t>
  </si>
  <si>
    <t>Ability to drop monthly assessments (unmanifested, duplicates, PQN (Impb), SQA) packages with no disputes</t>
  </si>
  <si>
    <t>Account Management, App Support, COP, Data, EPS, IV-MTR, Mailer Review, Manifest, Payment, Reporting, Scan, ServiceNow, Tech Arch, Verify</t>
  </si>
  <si>
    <t xml:space="preserve">Need BNS/CR. </t>
  </si>
  <si>
    <t>Force rejected packages to go to unmanifested, regardless if there's a scan (ensure unmanifested report &amp; data feed state "… rejected")</t>
  </si>
  <si>
    <t>Reliant on ID#81 ?</t>
  </si>
  <si>
    <t>New Ship Report &amp; Data Feed for Manifest Rejections</t>
  </si>
  <si>
    <t>Reporting, Manifest, Verify</t>
  </si>
  <si>
    <t>Need BNS/CR. Request from Matt J is to have 1 report with 2 tabs - one each for rejections and auto-corrections. Reject report tab is the priority. These 2 tabs don't necessarily need to be deployed a the same time, we can do the rejections first, then the auto-corrections.</t>
  </si>
  <si>
    <t>System to auto-generate joint review and refund emails (Mailer Review) - linked to ID #44, ID# 40?</t>
  </si>
  <si>
    <r>
      <rPr>
        <sz val="9"/>
        <rFont val="Aptos Narrow"/>
        <family val="2"/>
        <scheme val="minor"/>
      </rPr>
      <t>Need BNS/CR &amp; funding before it can be worked on and scheduled
1st, 8th &amp; 15th / or when charged for JRs - when submitted and closed for Refunds (Webhook-API?</t>
    </r>
    <r>
      <rPr>
        <sz val="9"/>
        <color rgb="FFFF0000"/>
        <rFont val="Aptos Narrow"/>
        <family val="2"/>
        <scheme val="minor"/>
      </rPr>
      <t xml:space="preserve">
</t>
    </r>
  </si>
  <si>
    <t>VAE implementation in MR</t>
  </si>
  <si>
    <t>Implement VAE as it is in eVS - only VAE identified in Acct Mgmt can submit disputes/refunds and get auto emails for the account</t>
  </si>
  <si>
    <t>Update Returns Pricing Logic</t>
  </si>
  <si>
    <t>Pricing, Scan</t>
  </si>
  <si>
    <r>
      <t>Revise the Returns pricing logic to rely solely on physical scans, rather than auto-generated scans (</t>
    </r>
    <r>
      <rPr>
        <b/>
        <sz val="9"/>
        <color rgb="FF000000"/>
        <rFont val="Aptos Narrow"/>
        <family val="2"/>
        <scheme val="minor"/>
      </rPr>
      <t>including ignoring all UA events and Firm sheet scans</t>
    </r>
    <r>
      <rPr>
        <sz val="9"/>
        <color rgb="FF000000"/>
        <rFont val="Aptos Narrow"/>
        <family val="2"/>
        <scheme val="minor"/>
      </rPr>
      <t>), ensuring accuracy and consistency by using confirmed physical scan data. This update will mean Manifested Returns are priced based on the date and time we receive a physical scan, similar to the Price &amp; Charge on Scans approach, rather than the date and time of mailing in the manifest, which has been causing numerous issues.</t>
    </r>
  </si>
  <si>
    <t>Mailer Review needs to Interface with Customers &amp; Postal (emails, etc.) - linked to ID #65, ID# 40?</t>
  </si>
  <si>
    <t>Need BNS/CR</t>
  </si>
  <si>
    <t>Mailer Review - ability to work on account without using impersonate</t>
  </si>
  <si>
    <t>Reversals</t>
  </si>
  <si>
    <t>Ability to reverse adjustment and refund transactions at minimum; When we have an issue (i.e. incorrect contracts) and need to reverse the charges then replay/charge correctly</t>
  </si>
  <si>
    <t>Manifest Data Tool/Report</t>
  </si>
  <si>
    <t>App Support, Reporting</t>
  </si>
  <si>
    <t>Veterans Burial Flag Shipment Fee Code</t>
  </si>
  <si>
    <t>Manifest, Payment, Pricing, Verify</t>
  </si>
  <si>
    <t>[Functionality not needed until the next reconciliation period which is FY27 Q4] This feature is to implement a new Shipment Fee code for the USPS to charge the VA for warehousing burial flags. Currently, the only available Shipment Fee Code is PKF for Pickup On Demand, which does not differentiate burial flag fees. To address this, a new code, WHS for Warehousing, will be introduced. Additionally, a new AIC 112 for Storage and Handling Fees will be created and mapped to GLA 43360.112.
The business impact includes the need for USPS to clearly distinguish VA burial flag shipments from Pickup On Demand shipments. Key actions involve adding the new AIC, verifying if it corresponds to a new or existing GLA, updating procedures to support the new code, and ensuring reporting systems are updated to include this new AIC. Furthermore, EPS and EDW/ADM will be informed about the new AIC.</t>
  </si>
  <si>
    <t>FY27 Q4</t>
  </si>
  <si>
    <t>Display Address, State, and ZIP Code Separately</t>
  </si>
  <si>
    <t>PQN Enhance</t>
  </si>
  <si>
    <t>This feature is to display the Address, State, and ZIP Code as separate fields in the Package Quality Noncompliance Report.</t>
  </si>
  <si>
    <t>Ready for REQs</t>
  </si>
  <si>
    <t>Misshipped: Change to monthly assessment</t>
  </si>
  <si>
    <r>
      <t xml:space="preserve">Trying to do with </t>
    </r>
    <r>
      <rPr>
        <b/>
        <sz val="9"/>
        <color theme="1"/>
        <rFont val="Aptos Narrow"/>
        <family val="2"/>
        <scheme val="minor"/>
      </rPr>
      <t>RAID #554</t>
    </r>
    <r>
      <rPr>
        <sz val="9"/>
        <color theme="1"/>
        <rFont val="Aptos Narrow"/>
        <family val="2"/>
        <scheme val="minor"/>
      </rPr>
      <t>:  Multiple shippers, and business, requesting this.</t>
    </r>
  </si>
  <si>
    <t>Allow the user to pick what account (CRID) they want to view in Mailer Review (CRID Selector modal from BCG redirect)</t>
  </si>
  <si>
    <t>Causing refunds to go to the wrong account because a shipper has both Returns and Outbound, each with a different account</t>
  </si>
  <si>
    <t>Chinese Characters in Filename - Attachments</t>
  </si>
  <si>
    <t>Matt Request - Mailer Review should handle chinese characters and spaces in file names without erroring the file</t>
  </si>
  <si>
    <t>PRS Phase 2: Census Charging</t>
  </si>
  <si>
    <t>Verify, Payment, Data, Reporting</t>
  </si>
  <si>
    <t>This feature is to charge PRS based on the manifest in Phase 2. It enhances the existing logic by matching scans to compare captured data with manifested attributes, allowing for the assessment of shortpaid or overpaid amounts. Furthermore, it will trigger the removal of unmanifested warnings if a scan is received after a manifest.</t>
  </si>
  <si>
    <t>RSS sampling scans needed in Ship</t>
  </si>
  <si>
    <t>RSS samples needed for PRS in Ship- otherwise we will not have any samples for PRS</t>
  </si>
  <si>
    <t>Destination Entry Logic Changes</t>
  </si>
  <si>
    <t>Matt mentioned on 3/21 Service Leads call an email referencing a large number of false positives. Need to review email and confirm if/what changes are needed.</t>
  </si>
  <si>
    <t>Monitor Unenrolled MIDs and STCs Post-eVS Retirement</t>
  </si>
  <si>
    <t>With the upcoming retirement of the eVS system, there is a need to ensure continued visibility and payment tracking for unenrolled Mailing Identification Numbers (MIDs) and Service Type Codes (STCs) 216, 503, and 508. Ed Ramsey previously managed this process, and the responsibility will transition to the Ship system. This new functionality should include monitoring tools that provide real-time updates, alerts for any discrepancies, and a detailed reporting mechanism to ensure seamless continuity. The implementation should also focus on ensuring data accuracy and easy access to historical payment records for these unenrolled MIDs and STCs.</t>
  </si>
  <si>
    <t>Pricing- Add logic to handle PMOD specific UPCs</t>
  </si>
  <si>
    <t>EMAS PC Postage Integration for International Packages</t>
  </si>
  <si>
    <t>Account Management, Manifest, Scan</t>
  </si>
  <si>
    <t>This feature will enhance the integration between EMAS and USPS Ship by enabling the ingestion of a new PC Postage Provider field from EMAS for international packages. The Manifest service will implement new business rules to support File Type 2 for international shipments. Additionally, the Scan service will utilize the PC Postage Provider name to facilitate the Verify service in managing shortpaid, overpaid, and unmanifested packages, ensuring accurate processing and tracking.
This enhancement addresses the current gap in processing PC Postage International Packages, improving operational efficiency and accuracy in package management.</t>
  </si>
  <si>
    <t>Restriction of Priority Mail Express for APO to APO Shipments</t>
  </si>
  <si>
    <t>Enterprise Pricing, Pricing</t>
  </si>
  <si>
    <t>This feature addresses a gap in the Enterprise Pricing system regarding Priority Mail Express service usage for shipments between APO/FPO/DPO ZIP Codes. Currently, Priority Mail Express is incorrectly listed as a valid pricing option for these shipments. The enhancement will ensure that:
Priority Mail Express is not available for shipments between APO/FPO/DPO ZIP Codes.
The Enterprise Pricing system will return an error when attempting to request a Priority Mail Express rate for these specific origin and destination ZIPs.
This change will improve the accuracy of pricing options and prevent confusion for customers using the Base Rate List.</t>
  </si>
  <si>
    <t>Restrict Extra Services List API for Returns mail classes</t>
  </si>
  <si>
    <t>The feature ensures that when requesting "all" extra services from the Extra Service List API for Returns, the response includes only those extra services that are valid for return mail classes. This enhancement prevents the inclusion of invalid Extra Service Codes (ESCs), such as 920 for tracking, which are not applicable to return shipments. By refining the response to include only relevant extra services, this feature aims to streamline the returns process, enhance accuracy, and improve overall user experience for customers utilizing return mail services.</t>
  </si>
  <si>
    <t>Implement Pano/ERR Time Limited Price Change calculations and logic</t>
  </si>
  <si>
    <t xml:space="preserve">The feature aims to replicate the Time-Limited Price Change (TLPC) business rules, initially implemented by Sales directly into Program Registration, within the Pano system for use in the ERR environment. This feature will involve a comprehensive analysis and understanding of the existing TLPC business rules to seamlessly integrate and implement them in Pano. The goal is to ensure consistency and accuracy in price change calculations and logic, facilitating a smooth and efficient cutover to the new system. By aligning the TLPC functionality across systems, this enhancement will support better coordination, pricing accuracy, and operational efficiency within the sales and registration processes.
</t>
  </si>
  <si>
    <t>Pallet PMOD Pricing for Zones 6-9</t>
  </si>
  <si>
    <t>This feature is to describe the Pallet PMOD pricing for ZIP codes outside zones 1-5. Currently, Pallet PMOD is an NSA-only product and only covers zones 1-5. If a pricing request is received for ZIP codes that fall within zones 6-9, there will be no price available to return.</t>
  </si>
  <si>
    <t>File Size Miscommunication in MR for Refunds</t>
  </si>
  <si>
    <t>Data, Mailer Review, Reporting</t>
  </si>
  <si>
    <t>This feature is to address a defect in the MR for refunds system, which incorrectly states that mailers can upload files up to 1GB in size. This issue has been previously reported by Michael A. Caballero from Lubbock, TX. A mailer, YoungSpeeds, attempted to upload a 204 MB file for dispute ID 156073 using the “Add Additional Attachment(s)” option but encountered an error message. The file in question is named "YS weight dispute Sept 25.xlsx."</t>
  </si>
  <si>
    <t>Update Marketing Mail Pricing in Ship</t>
  </si>
  <si>
    <t>This feature is to update the Unmanifested Marketing Mile Pricing in the Ship system, addressing the requirements implemented with B-324521.</t>
  </si>
  <si>
    <t>Calculate Package Quality Noncompliance (PQN) for PostalOne mailers</t>
  </si>
  <si>
    <t>Manifest, Verify, Reporting, Data</t>
  </si>
  <si>
    <t>This feature will address a PTR request for USPS Ship to calculate Package Quality Noncompliance (PQN/IMpb Noncompliance) for PostalOne mailers. This calculation is done in PTR1 today. This will require changes in Verify. It may require changes in other services such as Manifest, Data, and Reporting depending on requirements.</t>
  </si>
  <si>
    <t>Pete?</t>
  </si>
  <si>
    <r>
      <rPr>
        <b/>
        <sz val="9"/>
        <color rgb="FF000000"/>
        <rFont val="Aptos Narrow"/>
        <family val="2"/>
        <scheme val="minor"/>
      </rPr>
      <t xml:space="preserve">Landing Page / Monthly Adjustment Summary </t>
    </r>
    <r>
      <rPr>
        <sz val="9"/>
        <color rgb="FF000000"/>
        <rFont val="Aptos Narrow"/>
        <family val="2"/>
        <scheme val="minor"/>
      </rPr>
      <t>- Change to how 'Monthly Adjustment Summary' tab shows adjustments</t>
    </r>
  </si>
  <si>
    <t>IB; Matt J</t>
  </si>
  <si>
    <t>Currently the Monthly Adjustment Summary tab shows “$0.00” for adjustments which have not been processed. I want to change that so it is either blank or “N/A” – probably blank is better. Until the adjustment is processed and when it is processed, it should reflect the actual amount, including “$0.00” for an assessment that was fully reduced to $0.</t>
  </si>
  <si>
    <t>Remove IV-MTR + PDX data subscription option from Account Management</t>
  </si>
  <si>
    <t>Account Management</t>
  </si>
  <si>
    <t>This feature will remove the "IV-MTR+PDX" option from the Data Subscriptions field for profiles in Account Management at Matt Jordan's request.  This is currently the default option for new enrollments from COP (where COP sets the parameter for it).  Matt would like COP profiles to instead get created as "PDX" and for the option to be removed entirely as a selectable option on the enrollment and edit screens.  Existing profiles with this option already selected may need a data repair to switch them to 'PDX' or 'None' (the other two options).</t>
  </si>
  <si>
    <t>MID De-Linking Automated Solution</t>
  </si>
  <si>
    <t>Account Management, Fraud, Manifest</t>
  </si>
  <si>
    <t>On Hold</t>
  </si>
  <si>
    <t>Amazon Fraud Unmanifested API</t>
  </si>
  <si>
    <t>Mailer Review, Pricing</t>
  </si>
  <si>
    <t>Ship PROD AWS Region Migration</t>
  </si>
  <si>
    <t>All</t>
  </si>
  <si>
    <t>Tech Debt</t>
  </si>
  <si>
    <t>All services need to migrate from AWS West to AWS East-2 region. NIT will lead cross-service coordination.</t>
  </si>
  <si>
    <t>TA Team</t>
  </si>
  <si>
    <t>Variable Pricing (aka RC Variable Pricing with Range Rates or Auctane pricing) (see also ID 581)</t>
  </si>
  <si>
    <t>Dynamic Pricing</t>
  </si>
  <si>
    <t>Enterprise Pricing, Pricing, Reporting, Payment</t>
  </si>
  <si>
    <t>This feature is to introduce MRC Variable Pricing, which includes enhancements and updates to pricing structures. It allows for a new contract type specifically for MRC Range Rates, enabling a rate list that specifies both a valid high and low value. (See also ID 581, Dynamic Pricing)</t>
  </si>
  <si>
    <t xml:space="preserve">Keyed In Postage - Postage for Netstamps </t>
  </si>
  <si>
    <t>LF Manifest, LF Payment, LF Data, EMAS, EPS</t>
  </si>
  <si>
    <r>
      <rPr>
        <b/>
        <sz val="9"/>
        <color rgb="FFFF0000"/>
        <rFont val="Aptos Narrow"/>
        <family val="2"/>
        <scheme val="minor"/>
      </rPr>
      <t xml:space="preserve">EMAS HAS MARCH RELEASE </t>
    </r>
    <r>
      <rPr>
        <sz val="9"/>
        <color rgb="FF000000"/>
        <rFont val="Aptos Narrow"/>
        <family val="2"/>
        <scheme val="minor"/>
      </rPr>
      <t>"Keyed In Postage" This feature is to allow mailers to add additional postage to netstamps after they have been created, specifically for Letters and Flats Keyed In Postage. This enhancement provides greater flexibility for users in managing their postage needs.
Angela Dyer added a topic to the meeting, but no funding source has been identified. The target date for this initiative is early 2026, specifically January, depending on EMAS and other priorities.</t>
    </r>
  </si>
  <si>
    <t>BNS0261025 - Geocoding (Part of API Access Control)</t>
  </si>
  <si>
    <t>Enterprise Pricing, EMAS</t>
  </si>
  <si>
    <t>The feature will enable a new interface with Enterprise Pricing and Pano to load API Monetization data for Geo Spatial products including a new Contract type, new Rate lookup, New SKU type, and customized tiers threshold.  Integration with EMAS is necessary. (BNS0261025)</t>
  </si>
  <si>
    <t>Minden, Linda</t>
  </si>
  <si>
    <r>
      <rPr>
        <b/>
        <sz val="9"/>
        <color rgb="FF000000"/>
        <rFont val="Aptos Narrow"/>
        <family val="2"/>
        <scheme val="minor"/>
      </rPr>
      <t>Manifest Search Report:</t>
    </r>
    <r>
      <rPr>
        <sz val="9"/>
        <color rgb="FF000000"/>
        <rFont val="Aptos Narrow"/>
        <family val="2"/>
        <scheme val="minor"/>
      </rPr>
      <t xml:space="preserve"> Manifested Rejected Packages are not displayed on the Universal Search Report</t>
    </r>
  </si>
  <si>
    <t>B-954800</t>
  </si>
  <si>
    <t>Comments for Monthly Adjustments</t>
  </si>
  <si>
    <t>Mailer Review, Reporting</t>
  </si>
  <si>
    <t xml:space="preserve">eCompro labels being received by Ship have no way of being priced - suggest sending them to unmanifested and getting with International team to identify what price point and add a SKU </t>
  </si>
  <si>
    <t>(EEG 2/22/24) I believe these are already going to unmanifested, as long as we get a scan. That's how we found the discrepancy - they were unman on Ship, but manifested on eVS. Last email from Kellie ("ECOMPRO" 2/6/24 9:43 AM) stated "For now let’s just let this part play out and be done with it.", so I believe there's nothing to do here for now.</t>
  </si>
  <si>
    <t>Webpage should follow style guide (for look, functionality, and user experience)</t>
  </si>
  <si>
    <t>Account Management, Mailer Review, Reporting</t>
  </si>
  <si>
    <t>Turn on automated assessments - Unmanifested, Duplicates, PQN (IMpb), SQA (New Aggregation Service)</t>
  </si>
  <si>
    <t>App Support, Data, Payment, Reporting, Verify</t>
  </si>
  <si>
    <t>Single Sign On (Reports, AcctMgmt, Mailer Review)</t>
  </si>
  <si>
    <t>Reporting already supports this</t>
  </si>
  <si>
    <t xml:space="preserve">Remove 'Presort' toggle button from AcctMgmt </t>
  </si>
  <si>
    <t>Presort is part of census, so can't be turned on/off (Noting that presort functionality isn't deployed for Ship yet)</t>
  </si>
  <si>
    <r>
      <t xml:space="preserve">Presort Verification </t>
    </r>
    <r>
      <rPr>
        <sz val="9"/>
        <color rgb="FFFF0000"/>
        <rFont val="Aptos Narrow"/>
        <family val="2"/>
        <scheme val="minor"/>
      </rPr>
      <t>(Negative ROI?; as of 9/19 eVS revenue for presort is $69,173)</t>
    </r>
    <r>
      <rPr>
        <sz val="9"/>
        <rFont val="Aptos Narrow"/>
        <family val="2"/>
        <scheme val="minor"/>
      </rPr>
      <t xml:space="preserve"> - Angela D wanted this removed, or at least pushed very far down in priority.</t>
    </r>
  </si>
  <si>
    <t>Research Trusted Scales / scans (emails "MPE Trusted Scales Not Reporting" &amp; "Trusted Scales Not Reporting")</t>
  </si>
  <si>
    <t>Appears we may not be using all scans - need to research if we're getting them, if we're not trusting, etc. Related RITM0334513</t>
  </si>
  <si>
    <t>Update duplicates process to lookup the EPA at the time a duplicate is identified rather than using the EPA from the original package (was INC000008738333 but determined to be a gap rather than a defect)</t>
  </si>
  <si>
    <t>Content Audit (added by Vicki during all day FY25 planning meeting; Angela D wanted this removed, or at least pushed very far down in priority.)</t>
  </si>
  <si>
    <t>Added during the all day FY25 planning meeting</t>
  </si>
  <si>
    <t>Rate Subscription Service - Webhook for contract data formerly served via APF2 files</t>
  </si>
  <si>
    <t>Auctane needs a replacement for a current process for getting all contract rates from USPS</t>
  </si>
  <si>
    <t>Misshipped: Use golden record to look up differences between reporting ZIP and facility ZIP</t>
  </si>
  <si>
    <t>Rate Subscription Service (Sales Mod)</t>
  </si>
  <si>
    <t xml:space="preserve">Enhancement </t>
  </si>
  <si>
    <t xml:space="preserve">Sales Mod item to implement an at-will NSA rate card request/response - envisioned as future replacement for APF2
 </t>
  </si>
  <si>
    <t>BNS 200770 - Label Provider Incentive - Incentive Disbursement Data Feed through IV-MTR</t>
  </si>
  <si>
    <t>Incentive Disbursement Data Feed through IV-MTR
A new data feed to provide incentive disbursement details need to be created</t>
  </si>
  <si>
    <t>Update Mailer Review Internal Auto Logout URL</t>
  </si>
  <si>
    <t>Matt Jordan Request</t>
  </si>
  <si>
    <t>Fraud - Intercept Fraudulent Returns</t>
  </si>
  <si>
    <t>Need to finalize solution and ROM</t>
  </si>
  <si>
    <t>Fraud - Intercept Duplicates Phase 1: Duplicate with wrong Delivery Address on package</t>
  </si>
  <si>
    <t>Fraud - Intercept Duplicates Phase 2​: Duplicate package to same address</t>
  </si>
  <si>
    <t>Fraud - Intercept PRS</t>
  </si>
  <si>
    <t>Fraud - Intercept Duplicates Phase 3​: Wrong Drop Location</t>
  </si>
  <si>
    <t>Fraud - Intercept PFS</t>
  </si>
  <si>
    <t>Post Host Storage Fee</t>
  </si>
  <si>
    <t>Post Host</t>
  </si>
  <si>
    <t xml:space="preserve">New API endpoint to support Post Host storage fee calculation. Requires consuming new contract data related to the fee as well as new SKUs/pricing for the calculated rates. WebBATS team is currently calculating this fee on their own. </t>
  </si>
  <si>
    <t>EP pricing without Rate Indicators (Direct Integration)</t>
  </si>
  <si>
    <t>EMAS FCMI Indicia Support - Testing/charge on 11/25, New Data Fields 1/4</t>
  </si>
  <si>
    <t>Data, Mailer Review, Manifest, Payment, Pricing, Reporting, Scan, Verfiy</t>
  </si>
  <si>
    <t>This enhancement supports EMAS in creating First-Class Mail International (FCMI) indicias for cards, letters, and flats. It introduces new enumerations for processing categories and mail classes, as well as a new element for destination country. The Payment microservice will send specific product types for domestic and international LF services to EPS. This update impacts all LF services.</t>
  </si>
  <si>
    <t>Add Mail Class Filter to Report  B-986489</t>
  </si>
  <si>
    <t>This feature is to enhance the Transaction Details Report (Online Report) by adding Mail Class as a filter. This improvement will allow users to filter the report based on different mail classes, making it easier to analyze transaction details.</t>
  </si>
  <si>
    <t>Spring Upgrades: Sonar/Xray Blocker Remediation</t>
  </si>
  <si>
    <t>Account Management, Data, Fraud, Mailer Review, Manifest, Monitoring, Payment, Reportring, Pricing, Scan, Verify</t>
  </si>
  <si>
    <t>This feature is to address Spring Upgrades by focusing on the remediation of Sonar and Xray blockers. It aims to identify gaps and implement solutions to effectively resolve these blockers, ensuring a smoother upgrade process.</t>
  </si>
  <si>
    <t>Error Type Filter for Quality Reports</t>
  </si>
  <si>
    <t>This feature is to implement an Error Type Filter in the Package Quality Noncompliance Report. It enhances the search functionality by adding a filter for different error types, specifically AQ (Address Quality), BQ (Barcode Quality), and MQ (Manifest Quality).</t>
  </si>
  <si>
    <t>Ability to dispute on the 1st, not the 8th</t>
  </si>
  <si>
    <t>Account Management - Ability to create/validate Permits</t>
  </si>
  <si>
    <t>No overlapping permits; Ship would need to validate the permit # doesn't exist in PO!.
Need this in order to retire eVS? What downstream impacts does this have regarding permits in the future from mailers who were grandfathered in and with whom we allow permits</t>
  </si>
  <si>
    <t>USPS Returns Reports</t>
  </si>
  <si>
    <t>Multiple reports needed;IMPB Compliance
It matters where its coming from (might cross over into SVM, it is already an IV)</t>
  </si>
  <si>
    <r>
      <rPr>
        <b/>
        <sz val="9"/>
        <color theme="1"/>
        <rFont val="Aptos Narrow"/>
        <family val="2"/>
        <scheme val="minor"/>
      </rPr>
      <t xml:space="preserve">(Search) Landing Page - </t>
    </r>
    <r>
      <rPr>
        <sz val="9"/>
        <color theme="1"/>
        <rFont val="Aptos Narrow"/>
        <family val="2"/>
        <scheme val="minor"/>
      </rPr>
      <t xml:space="preserve">have permit # search enabled </t>
    </r>
  </si>
  <si>
    <t>Account Management, Reporting</t>
  </si>
  <si>
    <t xml:space="preserve">Ship reports landing page to have permit # search enabled </t>
  </si>
  <si>
    <r>
      <rPr>
        <b/>
        <sz val="9"/>
        <color theme="1"/>
        <rFont val="Aptos Narrow"/>
        <family val="2"/>
        <scheme val="minor"/>
      </rPr>
      <t xml:space="preserve">Landing page / Monthly Account Summary - </t>
    </r>
    <r>
      <rPr>
        <sz val="9"/>
        <color theme="1"/>
        <rFont val="Aptos Narrow"/>
        <family val="2"/>
        <scheme val="minor"/>
      </rPr>
      <t>to show permit information displayed (create a pop up to show permit infomrmation)</t>
    </r>
  </si>
  <si>
    <t>Ship reports Monthly Account Summary page to show permit information displayed (create a pop up to show permit infomrmation)</t>
  </si>
  <si>
    <r>
      <rPr>
        <b/>
        <sz val="9"/>
        <color theme="1"/>
        <rFont val="Aptos Narrow"/>
        <family val="2"/>
        <scheme val="minor"/>
      </rPr>
      <t xml:space="preserve">Landing page / Monthly Account Summary - </t>
    </r>
    <r>
      <rPr>
        <sz val="9"/>
        <color theme="1"/>
        <rFont val="Aptos Narrow"/>
        <family val="2"/>
        <scheme val="minor"/>
      </rPr>
      <t>to show VAE information</t>
    </r>
  </si>
  <si>
    <t>Ship reports Monthly Account Summary page to show VAE information</t>
  </si>
  <si>
    <r>
      <rPr>
        <b/>
        <sz val="9"/>
        <color theme="1"/>
        <rFont val="Aptos Narrow"/>
        <family val="2"/>
        <scheme val="minor"/>
      </rPr>
      <t xml:space="preserve">Landing page / Monthly Account Summary - </t>
    </r>
    <r>
      <rPr>
        <sz val="9"/>
        <color theme="1"/>
        <rFont val="Aptos Narrow"/>
        <family val="2"/>
        <scheme val="minor"/>
      </rPr>
      <t>to show BSA information</t>
    </r>
  </si>
  <si>
    <t>Ship reports Monthly Account Summary page to show BSA information</t>
  </si>
  <si>
    <r>
      <rPr>
        <b/>
        <sz val="9"/>
        <color theme="1"/>
        <rFont val="Aptos Narrow"/>
        <family val="2"/>
        <scheme val="minor"/>
      </rPr>
      <t xml:space="preserve">Landing page / Monthly Account Summary - </t>
    </r>
    <r>
      <rPr>
        <sz val="9"/>
        <color theme="1"/>
        <rFont val="Aptos Narrow"/>
        <family val="2"/>
        <scheme val="minor"/>
      </rPr>
      <t>to show Analyst information (internal only)</t>
    </r>
  </si>
  <si>
    <t>Ship reports Monthly Account Summary page to show Analyst information (internal only)</t>
  </si>
  <si>
    <t>Automatic Removal of Departing Analysts</t>
  </si>
  <si>
    <t>When an employee who is assigned as an analyst for Ship profiles leaves USPS, the Account Management system does not currently remove them from the assigned analyst role. This enhancement ensures that when an analyst departs, they are automatically removed from their assigned profiles, leaving the analyst role un-assigned or re-assigned to a specified default analyst. This process ensures that profiles are managed effectively and prevents any gaps in analyst assignment.
See email: "Account Management: Outbound Mailer Report Primary Reconciliation/Refund Analyst"</t>
  </si>
  <si>
    <t>PIC Search Error/Warning Filter Feature</t>
  </si>
  <si>
    <t>This feature is to enhance the PIC Search in the Package Errors and Warnings Report by allowing users to apply filters that specifically target errors and warnings, making it easier to find relevant information. Request from Matt J</t>
  </si>
  <si>
    <t>Ship Reports - 'Download All' Reports Button</t>
  </si>
  <si>
    <t>This feature will introduce a 'Download All' button in the Ship Report Downloads menu, enabling users to download all available reports at once. The reports will be compressed into a single ZIP file for download.
Related Email Chain: "Ship Reports enhancement request - Download All"</t>
  </si>
  <si>
    <t>Fraud RSS Phase 1</t>
  </si>
  <si>
    <t>This feature is to ingest RSS-generated retail 95 barcodes from EEB and store to the Fraud DB. It does not include updates to API logic.</t>
  </si>
  <si>
    <t>Redesign Postage Due interfaces to Accommodate 100% of Outbound MIDs being enrolled</t>
  </si>
  <si>
    <t>OIG, Matt J, Postage Due</t>
  </si>
  <si>
    <t>Account Management, PO!, EMAS</t>
  </si>
  <si>
    <t>OIG would like USPS Ship to redesign its Postage Due interfaces to support 100% of Outbound MIDs being enrolled in Postage Due. This feature should be handled in phases, where the first focus is on Pilot enrollments; phase two would be Live enrollments.  Live enrollments would need to be coordinated with PostalOne! to ensure that Postage Due packages are not charged in both systems.  To handle the increased load of MIDs, Ship would need to build out several new features - 1) automatic enrollment of new MIDs for Outbound CRIDs into Postage Due using CRID-level defaults, 2) a new user-interface driven by CRID that allows the user to drill down into individual MID Postage Due profiles for the CRIDs, and 3) new interface to replace the API call made daily by NCSC to Ship Account Management that currently retrieves a list of enrolled Postage Due MIDs.  There also exist other RAID items related to Postage Due that may need to be prioritized once mailers go Live with Postage Due.</t>
  </si>
  <si>
    <t>FY27 Q1</t>
  </si>
  <si>
    <t>BNS0277147 - PRS Pricing Logic Update to Include Scan Events</t>
  </si>
  <si>
    <t>OIG, Matt J</t>
  </si>
  <si>
    <t>Pricing, Scan, Verify, Manifest, Data, Reporting</t>
  </si>
  <si>
    <t>We currently do not use scan events to determine the correct entry pricing or to determine correct weight and dimensions to charge for Parcel Return Service (PRS). We want the manifested Destination Rate Indicator (DRI) to be updated based on actual scan events.  The 17 scan event indicates the pkg was handed off at a Return Delivery Unit (RDU), the 42 scan event indicates the pkg was handed off at a Return Sectional Center Facility (RSCF).  If the manifest is received before any scan events, pricing would be determined based on the manifest.  When scans are received, we will adjust entry type and weight/dimensions based on captured scan events.  This should be charged based on USPS Ship Census adjustments.  If the manifest is received after any scan events, pricing would be determined based on the captured scan events.  Charges will need to be reflected in reporting and data feeds.</t>
  </si>
  <si>
    <t>Jan 27 PC</t>
  </si>
  <si>
    <t>Update Mailer Review external landing page to default to outbound CRID or add ability to set default CRID that is selected</t>
  </si>
  <si>
    <t>Request from business to allow users to save the CRID that shows first for them or at a minimum default to outbound CRID. Need additional discussions to work through requirements.</t>
  </si>
  <si>
    <t>Always default the Active CRID to the Outbound CRID in Mailer Review</t>
  </si>
  <si>
    <t>See email thread "Disputes and Refunds Defaulting to Different CRID_ETSY -- CRID 44565409"</t>
  </si>
  <si>
    <t>Display in Acct Mgmt prior and current month's avg price used by Pricing for Returns MID</t>
  </si>
  <si>
    <t>Account Management, Pricing</t>
  </si>
  <si>
    <t>Acct Mgmt needs data from Pricing</t>
  </si>
  <si>
    <t>Acct Mgmt - display outbound profiles that don't have MIDs</t>
  </si>
  <si>
    <t>HQ, Matt J</t>
  </si>
  <si>
    <t>CRID 43207548 had all their MIDs delinked in the MID system, and then the profile stopped showing up in Acct Mgmt because Acct Mgmt assumes any enrolled CRID will have at least 1 MID.</t>
  </si>
  <si>
    <t xml:space="preserve">TPB "Third Party Billing" (Outbound) Universal Reports </t>
  </si>
  <si>
    <t>TPB, Matt J</t>
  </si>
  <si>
    <t>CASI involved - CNS, Ship, API TPB transactions all on one report</t>
  </si>
  <si>
    <t>End Returns Profiles if the Profile MID is no longer owned by the Profile CRID</t>
  </si>
  <si>
    <t>Request from Matt after a MID was delinked from a CRID and the admin user still had to go into UI to end the profile.</t>
  </si>
  <si>
    <t>Change the file naming format for the PQN (Impb) report? It's too long. I suggest removing everything before the CRID and replacing with simply "PQN-"
IMPBERROR-IMPBNONCOMPLIANCE-2435769-2025-07-01-2025-07-31-1753121072275</t>
  </si>
  <si>
    <t>Matt Request</t>
  </si>
  <si>
    <t>Feature Name: Enhanced CRID Search in Mailer Review</t>
  </si>
  <si>
    <t>This enhancement improves the Mailer Review feature by ensuring that searching by username returns all associated CRIDs instead of only one. Currently, the system shows only a single CRID when a username is used as the search parameter, limiting the results and completeness of the information provided. This update will enable users to retrieve all relevant CRIDs linked to the searched username, offering a more comprehensive and accurate view of the user’s information.</t>
  </si>
  <si>
    <t>Data - IVMTR Data Feed Updates to Variance for International</t>
  </si>
  <si>
    <t>IB, Matt J</t>
  </si>
  <si>
    <t>B-983246. (From IB: The report is missing the Destination Country Code and the Pricing Group. The Destination ZIP Code field and Zone fields could be repurposed for international to return the Destination Country Code in the Destination ZIP Code field, and the Pricing Group in the Manifest Zone field  and USPS Zone field)</t>
  </si>
  <si>
    <t>Reporting - Updates to Variance Report Downloads For International</t>
  </si>
  <si>
    <t>B-983245.  (From IB: The report is missing the Destination Country Code and the Pricing Group. The Destination ZIP Code field and Zone fields could be repurposed for international to return the Destination Country Code in the Destination ZIP Code field, and the Pricing Group in the Manifest Zone field  and USPS Zone field)</t>
  </si>
  <si>
    <t>Monthly Charge Notification for Shippers</t>
  </si>
  <si>
    <t>This feature is to provide a Monthly Charge Assessment Overview, which includes enhancements for assessing live mailers. On the 8th of each month, shippers will receive details about packages that will incur charges if no joint reviews or disputes are initiated. This ensures that shippers are informed and can take necessary actions to avoid additional costs.</t>
  </si>
  <si>
    <t>Live Outbound Mailer Activity Report</t>
  </si>
  <si>
    <t>This feature is to enhance the Acct Mgmt - Live Outbound Mailer Listing Report by replacing null values with zeros for mailers that have no activity. Additionally, it will include a year-to-date cumulative manifest piece count to allow users to see activity trends more effectively. This request comes from HQ representatives Mike and Matt.</t>
  </si>
  <si>
    <t>Fraud MID Report Enhancement Request (Online)</t>
  </si>
  <si>
    <t>Fraud, Matt J</t>
  </si>
  <si>
    <t>Data, Fraud, Reporting</t>
  </si>
  <si>
    <t>This feature is to enhance the Fraud MID Report by making it accessible for all mailers and MIDs, rather than being mailer-specific. The request includes discussing changes during the next weekly call, as the current report is not functioning properly. The user, Matt Jordan, is seeking information on any mailers with data related to this report and clarification on what to expect for "MID Status."
The proposed enhancements include:
Creating a new report that consolidates all MIDs for all customers.
Adding a filter for MID.
Retaining existing data fields while also including:
Owner CRID
Intercept (Y/N)
Intercept Date (the date added to the intercept list)
Matt is looking forward to discussing these changes further.
IT note - please make sure CISO approves this prior to moving forward, as I believe it is purposeful that this info is not widely available. It may need special requirements to lock it down to specific users as compared to other internal reports.</t>
  </si>
  <si>
    <t>Remove Secondary Analysts from Ship Profiles</t>
  </si>
  <si>
    <t>This feature is to remove Secondary Analysts from the Account Management system for Ship profiles. HQ has decided to eliminate the assignment of Secondary Analysts due to the confusion it causes in routing problem tickets to the correct individuals. The goal is to streamline the process by removing Secondary Analysts entirely from the system.</t>
  </si>
  <si>
    <t>Add Variance Piece Count to Report</t>
  </si>
  <si>
    <t>This feature is to add a Variance piece count column to the Manifest Summary report. This column will display the number of pieces in the file, EFN, and date that had a variance.</t>
  </si>
  <si>
    <t>Implement S &amp; T Processing Categories</t>
  </si>
  <si>
    <t>Manifest, Pricing, EP, EMAS</t>
  </si>
  <si>
    <t>This feature will fully and correctly implement processing categories S &amp; T. It should be available for all (or most, at least) rate ingredient combinations, just as we have for 3 and 5 (mach/nonstd).</t>
  </si>
  <si>
    <t>Olivia S</t>
  </si>
  <si>
    <t>Display Hazmat information in Ship</t>
  </si>
  <si>
    <t>Data, Reporting, Pricing, CDAO</t>
  </si>
  <si>
    <t>In coordination with CDAO, this feature will allow Ship to display detailed Hazmat information (hazmat label types, codes (i.e.UN3481), Limited_Quantity_Surface). See email "RE: HAZMAT STC non-compliance June 6-12-2026.xlsx"</t>
  </si>
  <si>
    <t>Provisioning Images for Hazmat Noncompliance Packages</t>
  </si>
  <si>
    <t>This feature enhances Ship reports by providing mailers with images of packages that appear to contain hazardous materials.</t>
  </si>
  <si>
    <t>Reporting - Enhance PIC Search Format lookup</t>
  </si>
  <si>
    <t>This feature will remove any spaces from all text boxes for PICs (i.e. manifest search, PIC search on the reports). Reporting is sent PICs a lot from the field and they have them in the format they appear on the label with spaces between every 4 characters.</t>
  </si>
  <si>
    <t>Heather (E-109942)</t>
  </si>
  <si>
    <t>Reporting - Enhance Landing Page Company Search Lookup to allow "Contains"</t>
  </si>
  <si>
    <t>This feature will allow the landing page search box for mailer name to have a "contains" type of filter (i.e. search for the word "global" would return PYK Global, DHL Global, any that start with the word Global). In PostalOne, they have a "is/starts with/contains" filter for the company name searches.</t>
  </si>
  <si>
    <t>Heather (E-109943)</t>
  </si>
  <si>
    <t>NMO Dimensioning and weight collection</t>
  </si>
  <si>
    <t xml:space="preserve">This feature is to ingest dim and weight data for manually scanned NMO pieces during BUILD scanning.  </t>
  </si>
  <si>
    <t>Heather</t>
  </si>
  <si>
    <t xml:space="preserve">Karla </t>
  </si>
  <si>
    <t>Allow special characters in SSF customer reference fields</t>
  </si>
  <si>
    <t>Manifest, Other</t>
  </si>
  <si>
    <t>Would need to determine which special characters to allow and work with PTR to update the SSF specification</t>
  </si>
  <si>
    <r>
      <rPr>
        <b/>
        <sz val="9"/>
        <color theme="1"/>
        <rFont val="Aptos Narrow"/>
        <family val="2"/>
        <scheme val="minor"/>
      </rPr>
      <t>Landing page / Monthly Account Summary</t>
    </r>
    <r>
      <rPr>
        <sz val="9"/>
        <color theme="1"/>
        <rFont val="Aptos Narrow"/>
        <family val="2"/>
        <scheme val="minor"/>
      </rPr>
      <t xml:space="preserve"> - Displaying Average Price on Ship Landing Page</t>
    </r>
  </si>
  <si>
    <t>need average price to appear on internal landing page</t>
  </si>
  <si>
    <r>
      <rPr>
        <b/>
        <sz val="9"/>
        <color theme="1"/>
        <rFont val="Aptos Narrow"/>
        <family val="2"/>
        <scheme val="minor"/>
      </rPr>
      <t>Manifest Search Report</t>
    </r>
    <r>
      <rPr>
        <sz val="9"/>
        <color theme="1"/>
        <rFont val="Aptos Narrow"/>
        <family val="2"/>
        <scheme val="minor"/>
      </rPr>
      <t xml:space="preserve"> - Add ability to export to Excel, including not found list</t>
    </r>
  </si>
  <si>
    <t>Ship Reports + Account Management for New Mailers</t>
  </si>
  <si>
    <t>Ship Reports pulls information from Acct Mgmt every 12 hours which creates a problem when onboarding new customers - we can't see their landing page.
Plan to change to 2 hours is in progress; first part (2/28) is an internal change to ensure we won't cause any other issues with changing from 12 hours to 2 hours. Final fix date TBD</t>
  </si>
  <si>
    <t>Account Management - MID Data Updated</t>
  </si>
  <si>
    <t>Purpose of this enhancement is to help communicate with customers. Name, Creation Date, CRID, latest activity date</t>
  </si>
  <si>
    <r>
      <rPr>
        <b/>
        <sz val="9"/>
        <color theme="1"/>
        <rFont val="Aptos Narrow"/>
        <family val="2"/>
        <scheme val="minor"/>
      </rPr>
      <t>Pricing Notification Data Feed</t>
    </r>
    <r>
      <rPr>
        <sz val="9"/>
        <color theme="1"/>
        <rFont val="Aptos Narrow"/>
        <family val="2"/>
        <scheme val="minor"/>
      </rPr>
      <t xml:space="preserve"> - allow mailers to select only Returns, only Outbound, only PRS, etc.</t>
    </r>
  </si>
  <si>
    <t>IV-MTR, Reporting</t>
  </si>
  <si>
    <t>Internal Access to IV-MTR Data Feeds + PEW</t>
  </si>
  <si>
    <t>Internal access to IV feeds and PEW reports/extracts</t>
  </si>
  <si>
    <t>Postage Due Reports</t>
  </si>
  <si>
    <t>Data, IV-MTR, Reporting</t>
  </si>
  <si>
    <t>MWB 3/8/2024: Need other teams like RFS, PFS, etc.
(AcctMgmt starting to work on their piece 3/29/24)</t>
  </si>
  <si>
    <t>Postage Due Data Feeds</t>
  </si>
  <si>
    <t>4.	Each IV-MTR Postage Due data feed (payment transactions and package attributes) need to include data elements : suggestions (i.e., Pic, CRID, EPS #, EPS Transaction ID, Mail class, Event Code, Participant Code-MID who pays, Postage, Fees, Multiplier Factors, Product Code and fees (ACS-related product codes, Return To Sender product code) (RFS/CFS ancillary Service endorsement).</t>
  </si>
  <si>
    <t>ServiceNow - In the parent ticket at the bottom of the page where the Assessment IDs/child tickets are, Override and Fee Override should only display a value if “Amount Overwritten” is true, or if “Fee Amount Overwritten” is true</t>
  </si>
  <si>
    <t>ServiceNow change. Test support will be needed from Mailer Review.</t>
  </si>
  <si>
    <t>Allow IV-MTR Feeds to be provisioned via PDX (should be an IV-MTR change? .. Check with Mike T)</t>
  </si>
  <si>
    <r>
      <t xml:space="preserve">Data service needs to provision ad hoc historical </t>
    </r>
    <r>
      <rPr>
        <b/>
        <sz val="9"/>
        <rFont val="Aptos Narrow"/>
        <family val="2"/>
        <scheme val="minor"/>
      </rPr>
      <t xml:space="preserve">data feed </t>
    </r>
    <r>
      <rPr>
        <sz val="9"/>
        <rFont val="Aptos Narrow"/>
        <family val="2"/>
        <scheme val="minor"/>
      </rPr>
      <t>extracts</t>
    </r>
  </si>
  <si>
    <t>Create System Account to finalize streamlining IV-MTR enrollment</t>
  </si>
  <si>
    <t>Completed with COP in November; just need a system account; eVS migrating mailers will be done via AcctMgmt</t>
  </si>
  <si>
    <t>Provide shipper files in legacy format - AS2</t>
  </si>
  <si>
    <t>ServiceNow - In a Joint Review child ticket, Override and Fee Override should not display anything unless the Override checkbox is selected. If it’s de-selected, whatever value was there should be removed. We are also fine with removing the Override displays completely, unless the checkbox is selected</t>
  </si>
  <si>
    <t>Ability to charge assessments by specific month - business may want to not charge January until we hit sometime in March … and at that time, they don't want to charge Feb</t>
  </si>
  <si>
    <t>Mailer Review, Payment</t>
  </si>
  <si>
    <t>Process for doing auto-assessment and auto-charging for older shipments (beyond prior month assessments)</t>
  </si>
  <si>
    <t>Payment, Verify</t>
  </si>
  <si>
    <r>
      <rPr>
        <b/>
        <sz val="9"/>
        <color theme="1"/>
        <rFont val="Aptos Narrow"/>
        <family val="2"/>
        <scheme val="minor"/>
      </rPr>
      <t>Manifest Search Report</t>
    </r>
    <r>
      <rPr>
        <sz val="9"/>
        <color theme="1"/>
        <rFont val="Aptos Narrow"/>
        <family val="2"/>
        <scheme val="minor"/>
      </rPr>
      <t xml:space="preserve"> - Change date that populates “manifest date” on the Manifest Search reports</t>
    </r>
  </si>
  <si>
    <t>Currently the “manifest date” on the Manifest Search reports displays the date the record was received from the manifest service. We want to have this field display the date that Ship first received the manifest, not when it was sent to reporting. We also might change the label for that field of the report. I will look at where to prioritize this soon.</t>
  </si>
  <si>
    <t>Add Company Imprint to Profile and Reports</t>
  </si>
  <si>
    <t>Would be collected on the Outbound profile in Account Management and propagated to Reports.  Per Matt Jordan, eVS has this in it's profile and this is a way for field users to identify the owner of a package. A lot of them aren’t aware of IMpb constructs and how to identify a MID (or have access to the MID tool to look it up). And we get a lot of company name abbreviations in the indicia on the label.</t>
  </si>
  <si>
    <t>Create a new report to show charges on a package (both Manifest charge and Census on the same line, wherever applicable)</t>
  </si>
  <si>
    <t>Create a  new report to show charges on a package (both Manifest charge and Census on the same line, wherever applicable)</t>
  </si>
  <si>
    <t>Build a functioning Test environment (CAT or Pre-PROD) that allow customers to test</t>
  </si>
  <si>
    <t>TPB "Third Party Billing" (Returns) -- Manifested returns</t>
  </si>
  <si>
    <t>TPB</t>
  </si>
  <si>
    <t>New NMO sampling report for internal users</t>
  </si>
  <si>
    <t>Discontinue support of subscriptions at minutes frequency through IV-MTR</t>
  </si>
  <si>
    <t>Package Platform Data feeds that are at a minute's frequency to be discontinued and the existing ones would be updated to start at a minimum of 60 minutes</t>
  </si>
  <si>
    <t>Bulk enrollment into Postage Due</t>
  </si>
  <si>
    <t>Account Management, Payment, Reporting</t>
  </si>
  <si>
    <t>Add functionality to enroll multiple MIDs into Postage due on Ship Acct Mgmt (DHL is an example)</t>
  </si>
  <si>
    <t>Add Returns Mail class fields to SN</t>
  </si>
  <si>
    <t>Add USPS Returns PQN (Impb) monthly assessments to the Joint Review process in Mailer Review and ServiceNow</t>
  </si>
  <si>
    <t>New data feed that lists Transaction IDs and associated Withdrawal IDs</t>
  </si>
  <si>
    <t>Data, Payment</t>
  </si>
  <si>
    <t>Fraud - Screen to manually turn on/off payment check</t>
  </si>
  <si>
    <t>(Potentially OBE - function is in ESM dashboard)</t>
  </si>
  <si>
    <t>Fraud - Auto-remove intercepted pieces from Unmanifested</t>
  </si>
  <si>
    <t>Fraud, Verify</t>
  </si>
  <si>
    <t>Fraud - Remove packages from barcode whitelist after delivery</t>
  </si>
  <si>
    <t>Fraud, Scan</t>
  </si>
  <si>
    <t>This might cause issues with RTS. Needs discussion.</t>
  </si>
  <si>
    <t>Fraud - Separate health check threshold for final intercept check</t>
  </si>
  <si>
    <t>Idea is to have separate thresholds so that the final check can be a longer timeframe than the initial check. This feature is dependent on the feature to modify the API to know when a call is the final intercept check</t>
  </si>
  <si>
    <t>Fraud - Health check notification</t>
  </si>
  <si>
    <r>
      <rPr>
        <b/>
        <sz val="9"/>
        <color rgb="FFFF0000"/>
        <rFont val="Aptos Narrow"/>
        <family val="2"/>
        <scheme val="minor"/>
      </rPr>
      <t xml:space="preserve">(Potentially OBE - ESM health check) </t>
    </r>
    <r>
      <rPr>
        <sz val="9"/>
        <color theme="1"/>
        <rFont val="Aptos Narrow"/>
        <family val="2"/>
        <scheme val="minor"/>
      </rPr>
      <t>Trigger an alert notification to a distro when health check is in unhealthy state and an "ok" notification when it goes back to healthy</t>
    </r>
  </si>
  <si>
    <t>Fraud - Health check dashboard</t>
  </si>
  <si>
    <r>
      <rPr>
        <b/>
        <sz val="9"/>
        <color rgb="FFFF0000"/>
        <rFont val="Aptos Narrow"/>
        <family val="2"/>
        <scheme val="minor"/>
      </rPr>
      <t>(Potentially OBE - ESM health dashboard)</t>
    </r>
    <r>
      <rPr>
        <sz val="9"/>
        <color theme="1"/>
        <rFont val="Aptos Narrow"/>
        <family val="2"/>
        <scheme val="minor"/>
      </rPr>
      <t xml:space="preserve"> Need to determine where this lives. Internal page for ESM to be able to monitor when there is an issue impacting the health check. Ideally with enough information to know which system has an issue (see ID 188), when health check went unhealthy, etc. so they can escalate based on SOPs to be defined.</t>
    </r>
  </si>
  <si>
    <t>Bulk enrollment into USPS Returns, No Manifest</t>
  </si>
  <si>
    <t>Add functionality to enroll more than 25 MIDs at a time into USPS Returns, No Manifest on Ship Acct Mgmt</t>
  </si>
  <si>
    <t>Payment - claw-back commission payments on credit card chargebacks</t>
  </si>
  <si>
    <t>Payment, Other</t>
  </si>
  <si>
    <t>Request from Alexandra/Abdul</t>
  </si>
  <si>
    <t>Enforce suspension of service for countries in all Enterprise Pricing APIs</t>
  </si>
  <si>
    <t>Enterprise Pricing does not currently have any country suspension/restriction functionality and therefore will return a rate regardless of the status of the country. Auctane has identified this as a blocking issue.</t>
  </si>
  <si>
    <t>SLA Phase 2 - Enhancements</t>
  </si>
  <si>
    <t>Monitoring</t>
  </si>
  <si>
    <t>ServiceNow - We would like the ability to change the default email subject and body for the internal automatic emails. This should be limited to certain users with some kind of ‘admin’ role – as in eVS where users with the Super User role can do this</t>
  </si>
  <si>
    <t>ServiceNow change. Do not believe this impacts Mailer Review service.</t>
  </si>
  <si>
    <r>
      <rPr>
        <b/>
        <sz val="9"/>
        <color rgb="FF000000"/>
        <rFont val="Aptos Narrow"/>
        <family val="2"/>
        <scheme val="minor"/>
      </rPr>
      <t xml:space="preserve">Outbound Transactions Payment Details Data feed </t>
    </r>
    <r>
      <rPr>
        <sz val="9"/>
        <color rgb="FF000000"/>
        <rFont val="Aptos Narrow"/>
        <family val="2"/>
        <scheme val="minor"/>
      </rPr>
      <t xml:space="preserve">- Add ACH Withdrawal Amount as a data field to </t>
    </r>
  </si>
  <si>
    <t>Add ACH Withdrawal Amount to Outbound Transactions Payment Details - Data feed</t>
  </si>
  <si>
    <r>
      <rPr>
        <b/>
        <sz val="9"/>
        <rFont val="Aptos Narrow"/>
        <family val="2"/>
        <scheme val="minor"/>
      </rPr>
      <t xml:space="preserve">Census Attributes data feed - </t>
    </r>
    <r>
      <rPr>
        <sz val="9"/>
        <rFont val="Aptos Narrow"/>
        <family val="2"/>
        <scheme val="minor"/>
      </rPr>
      <t xml:space="preserve">Add Base SKU (the original SKU on the package) to the </t>
    </r>
    <r>
      <rPr>
        <b/>
        <sz val="9"/>
        <rFont val="Aptos Narrow"/>
        <family val="2"/>
        <scheme val="minor"/>
      </rPr>
      <t>Census Attributes data feed</t>
    </r>
    <r>
      <rPr>
        <sz val="9"/>
        <color theme="5" tint="-0.249977111117893"/>
        <rFont val="Aptos Narrow"/>
        <family val="2"/>
        <scheme val="minor"/>
      </rPr>
      <t xml:space="preserve"> (check with Matt J to see what the SKU fields [manifested, census] should be names on the data feed)</t>
    </r>
  </si>
  <si>
    <t>Add Base SKU (the original SKU on the package) to the Census Attributes data feed</t>
  </si>
  <si>
    <r>
      <rPr>
        <b/>
        <sz val="9"/>
        <rFont val="Aptos Narrow"/>
        <family val="2"/>
        <scheme val="minor"/>
      </rPr>
      <t>Census Verification Report (Online):</t>
    </r>
    <r>
      <rPr>
        <sz val="9"/>
        <rFont val="Aptos Narrow"/>
        <family val="2"/>
        <scheme val="minor"/>
      </rPr>
      <t xml:space="preserve"> Add Base SKU (the original SKU on the package) to the </t>
    </r>
    <r>
      <rPr>
        <b/>
        <sz val="9"/>
        <rFont val="Aptos Narrow"/>
        <family val="2"/>
        <scheme val="minor"/>
      </rPr>
      <t>Census Verification online Report</t>
    </r>
    <r>
      <rPr>
        <sz val="9"/>
        <rFont val="Aptos Narrow"/>
        <family val="2"/>
        <scheme val="minor"/>
      </rPr>
      <t xml:space="preserve"> </t>
    </r>
    <r>
      <rPr>
        <sz val="9"/>
        <color theme="5" tint="-0.249977111117893"/>
        <rFont val="Aptos Narrow"/>
        <family val="2"/>
        <scheme val="minor"/>
      </rPr>
      <t>(check with Matt J to see what the SKU fields [manifested, census] should be names on the data feed)</t>
    </r>
  </si>
  <si>
    <t>Add Base SKU (the original SKU on the package) to the Census Verification Report</t>
  </si>
  <si>
    <t>ServiceNow - Add basic customer info to child ticket (same info that parent ticket already has – customer name, email address, phone, etc.)</t>
  </si>
  <si>
    <t>Fraud - support "greenlist" process to remove seized messages from PTR</t>
  </si>
  <si>
    <t>Need to finalize solution approach + prioritize. PTR wants in 2025.</t>
  </si>
  <si>
    <t>Fraud - mechanism to quickly update site configurations for intercept</t>
  </si>
  <si>
    <t>Front-end to update configurations by site/machine and send those settings to PRES in order to quickly turn intercept on or off by site/machine</t>
  </si>
  <si>
    <t>Fees for Pickup on Demand</t>
  </si>
  <si>
    <t>Loyalty Program for CNS</t>
  </si>
  <si>
    <t>Data, Manifest, Pricing, Verify</t>
  </si>
  <si>
    <t xml:space="preserve">CNS looking to implement a loyalty program that includes tiered rates dependent on volume commitments per CNS customer. </t>
  </si>
  <si>
    <t xml:space="preserve">Improvements in PEW processing to reduce delays in getting to payment </t>
  </si>
  <si>
    <t>Remove inactive data feeds (i.e. Manifest Errors) from IV-MTR list</t>
  </si>
  <si>
    <t>PEW files need to be made available as downloadable files on the IV-MTR UI</t>
  </si>
  <si>
    <t>PEW can only be set up today if the Shipper has SFTP and that restriction needs to be taken away so that shippers without an SFTP can get to download it from the IV-MTR UI</t>
  </si>
  <si>
    <t>Sales MOD -- Data feeds to SAL/UAP to provide data that can be used to create reports for 'Pending Postage'</t>
  </si>
  <si>
    <t>SAL</t>
  </si>
  <si>
    <t>As part of the Sales MOD effort, data needs to be sent to SAL/UAP so that this data can be used for reporting</t>
  </si>
  <si>
    <t xml:space="preserve">Match Scan to Manifests that are to 2 yrs old </t>
  </si>
  <si>
    <t xml:space="preserve">Duplicates Identification: Limit Scan Exclusion event to cancel only one duplicate delivery event </t>
  </si>
  <si>
    <t>B-972694</t>
  </si>
  <si>
    <t>NMO SQA Phase 1:  Remove sampling plans and change SQA to use all samples not just prompted samples</t>
  </si>
  <si>
    <t>Manifest, Scan, Verify</t>
  </si>
  <si>
    <t>NMO SQA Phase 2:  Split drop ship NMOs into separate SQA and send to Data/Reporting (drop ship only)</t>
  </si>
  <si>
    <t>Data, Manifest, Reporting, Scan, Verify</t>
  </si>
  <si>
    <t>NMO SQA Phase 3: Remove NMO volume from census and create full network NMO SQA.  Include any scan (MPE or sample) as a sample in the full network or dropship NMO SQA. If NMO or non-NMO SQA does not exceed threshold then charge all samples individually. Updated data sent to Data/Rptg</t>
  </si>
  <si>
    <t>NMO SQA Phase 4:  Build aggregation service for SQAs</t>
  </si>
  <si>
    <t>NMO SQA Phase 5:  If NMOs not claimed, then calculate population to apply SQA based on percent of sampled volume that is NMO. Update Mailer Review to allow Joint Reviews for new SQAs</t>
  </si>
  <si>
    <t>Mailer Review, Manifest, Scan, Verify</t>
  </si>
  <si>
    <t>NMO SQA Phase 6:  Update Mailer Review to allow individual SQA samples to be dropped from an assessment. Updated Verify/Pricing to recalculate SQA based on dropped packages and potentially switch from SQA to individual charges if dropped packages drop SQA below threshold</t>
  </si>
  <si>
    <t>TPB - Ability to revoke authorization</t>
  </si>
  <si>
    <t>new API with COP, possible impact for EMAS</t>
  </si>
  <si>
    <t>Payment - split PQN (IMpb) autocollection to separate job instead of being tied to unmanifested</t>
  </si>
  <si>
    <t>IT</t>
  </si>
  <si>
    <t>Payment</t>
  </si>
  <si>
    <t>Streamline autocollection for App Support</t>
  </si>
  <si>
    <t>TPB "Third Party Billing" (Returns) Reports -- ID#146 must take place first</t>
  </si>
  <si>
    <t>TPB "Third Party Billing" (Returns) Data Feeds -- ID#146 must take place first</t>
  </si>
  <si>
    <t>TPB "Third Party Billing" (Outbound) Reports: Changes, Census Changes, Acct Summary Page</t>
  </si>
  <si>
    <t>Post Host: Unused Label Refunds</t>
  </si>
  <si>
    <t>Mailer Review has deployed some functionality (142994)</t>
  </si>
  <si>
    <t>Fraud - Do not populate ZIP to MID Kafka topic</t>
  </si>
  <si>
    <r>
      <rPr>
        <b/>
        <sz val="9"/>
        <color rgb="FFFF0000"/>
        <rFont val="Aptos Narrow"/>
        <family val="2"/>
        <scheme val="minor"/>
      </rPr>
      <t>(Potentially OBE - sending 1 ZIP now)</t>
    </r>
    <r>
      <rPr>
        <sz val="9"/>
        <color theme="1"/>
        <rFont val="Aptos Narrow"/>
        <family val="2"/>
        <scheme val="minor"/>
      </rPr>
      <t xml:space="preserve"> Currently Ship publishes a record for each MID for each ZIP that is enabled for Fraud (currently around 100 sites). In this change, Ship will only publish each MID once to reduce volume on the topic and mitigate issues with PRES needing to synch records to each site based on the ZIP.</t>
    </r>
  </si>
  <si>
    <t>Fraud - Do Not Intercept List Automation</t>
  </si>
  <si>
    <t>There is a desire to automate the update of the fraud MID Do Not Intercept list based on analytics/AI. Further discussion needed on solution/reqs in order to ROM.</t>
  </si>
  <si>
    <t>Removed</t>
  </si>
  <si>
    <t>Send OMAS Transactions to SAL (Sales Analystics Lakehouse)</t>
  </si>
  <si>
    <t>Data Service to start sending OMAS transactions to SAL</t>
  </si>
  <si>
    <t>Fraud - Manifest update to count SPEF packages and generate alerts</t>
  </si>
  <si>
    <t xml:space="preserve">Fraud, Manifest </t>
  </si>
  <si>
    <r>
      <t xml:space="preserve">CIO Ask </t>
    </r>
    <r>
      <rPr>
        <b/>
        <sz val="9"/>
        <color rgb="FFFF0000"/>
        <rFont val="Aptos Narrow"/>
        <family val="2"/>
        <scheme val="minor"/>
      </rPr>
      <t>(Potentially OBE with EMS)</t>
    </r>
  </si>
  <si>
    <t>Rejected Manifest should be included in a Manifested Package Count instead of the Unmanifested Count</t>
  </si>
  <si>
    <t>Update PEW error message to include details similar to eVS</t>
  </si>
  <si>
    <t>Remove requirement to require 2 En Route Scan Events (10) from Duplicate Logic for DDU entry only</t>
  </si>
  <si>
    <t>TPB "Third Party Billing" (OMAS) -- TPB Outbound Manifest for OMAS Payers</t>
  </si>
  <si>
    <t>Account Management, Manifest, Payment, Pricing, Verify</t>
  </si>
  <si>
    <t>Needed for commercial shippers to send mailings for Gov't entities (e.g., Ashton Potter)</t>
  </si>
  <si>
    <t>Include 46 Scan Event (Carrier Identified Duplicates) to Duplicates Logic</t>
  </si>
  <si>
    <r>
      <rPr>
        <b/>
        <sz val="9"/>
        <color theme="1"/>
        <rFont val="Aptos Narrow"/>
        <family val="2"/>
        <scheme val="minor"/>
      </rPr>
      <t>Census Verification Report (Online)</t>
    </r>
    <r>
      <rPr>
        <sz val="9"/>
        <color theme="1"/>
        <rFont val="Aptos Narrow"/>
        <family val="2"/>
        <scheme val="minor"/>
      </rPr>
      <t xml:space="preserve"> - Add Configurable Date Filter to 'Search by Pic'</t>
    </r>
  </si>
  <si>
    <t>Integrate duplicates AI/ML model</t>
  </si>
  <si>
    <t>Need solution/final requirements to replace current manual process</t>
  </si>
  <si>
    <t>No</t>
  </si>
  <si>
    <t>Update Package Compliance rules to match PTR and all assessments turned on - Phase 2 of 2</t>
  </si>
  <si>
    <t>Phase 1 is ID 82</t>
  </si>
  <si>
    <t>Data Extract for package quality noncompliance package level details needs to have address surrounded by double quotes</t>
  </si>
  <si>
    <t>B-1003373</t>
  </si>
  <si>
    <t>Fraud - STC removal option in GUI</t>
  </si>
  <si>
    <t>Refund Request User Blocking</t>
  </si>
  <si>
    <t>Account Management, Mailer Review</t>
  </si>
  <si>
    <t>This enhancement allows USPS to disable refund request functionality for specific mailers flagged for suspicious or fraudulent behavior. Impacted USPS Ship microservices include Account Management and Mailer Review.</t>
  </si>
  <si>
    <t>Perfromance and design changes to extracts for CDM/RPW/Program registration</t>
  </si>
  <si>
    <t>Fraud GUI Enhancements</t>
  </si>
  <si>
    <t>This feature focuses on significant enhancements to the current Fraud Graphical User Interface (GUI) for the Fraud - Intercept system. These improvements aim to boost functionality and elevate the overall user experience for authorized USPS managers.
V1 Epic ID E-94715
Key Enhancements:
eAccess/Aris Request Integration:
As a USPS Manager, easily add an eAccess/Aris request to control login access to the Fraud - Intercept GUI, ensuring only authorized users can access the interface.
Enable/Disable Location Feature:
Toggle location statuses based on metrics through an intuitive interface.
Enhanced Search Functionality:
STC Search: Verify if an STC is whitelisted with a robust search tool.
Multi-MID Search: Simultaneously research multiple Mailer IDs (MIDs).
Multi-IMpb Search: Simultaneously research multiple Intelligent Mail Package Barcodes (IMpbs).
Multi-Location Search: Simultaneously research multiple locations.
File Upload Capability:
Easily update MIDs and IMpbs by uploading files directly within their respective pages, eliminating the need for manual textbox entries.
Formats for file uploads will be determined (TBD).
Export Options:
Export lists of MIDs, IMpbs, STCs, and locations/ZIPs for easier research and analysis.
Increased Timeout Duration:
Extend timeout periods on the Fraud - Intercept GUI to minimize the need for multiple logins within a single day.
STC Management:
Disable or remove STCs directly within the GUI, providing mailers with greater control over their STCs.</t>
  </si>
  <si>
    <t>Fraud - Health Check email to include payment check status</t>
  </si>
  <si>
    <t>There is currently an hourly email with the fraud health check status. This should be expanded for greater visibility to also include the payment check status, since it could be that Fraud is healthy but payment check is off, vice versa, both on, or both off.</t>
  </si>
  <si>
    <t>Automate BCG, USPS API access, EPS account deactivation</t>
  </si>
  <si>
    <t>Fraud, Account Management</t>
  </si>
  <si>
    <t>This feature ensures synchronized deactivation of fraudulent accounts across Ship's BCG, USPS APIs, and EPS systems. When an account is flagged and shut down due to suspicious activities, such as declined credit card transactions due to fraud:
Customer Registration (Cust Reg) will publish account deactivation details via a Kafka topic.
BCG, USPS APIs, and EPS systems will ingest this data and subsequently shut down the identified accounts within each respective system.
EPS will implement a rules-based decision-making process to systematically deactivate fraudulent accounts.
EPS will also provide a CSRA override option to remove deactivation when necessary.
Within USPS Ship, manifests with future dates will be prevented from processing for customers with deactivated BCG accounts.
Additionally, all packages associated with accounts shut down by BCG will be flagged for interception by USPS.
Benefit:
This feature enhances security by ensuring that accounts identified as fraudulent are deactivated across all relevant systems in a seamless, automated manner. It also prevents financial loss by intercepting packages that have not been paid for, thereby protecting USPS and reducing fraudulent activities across the board.</t>
  </si>
  <si>
    <t>Automation of intercepting unpaid packages</t>
  </si>
  <si>
    <t>This feature involves the automation of intercepting packages that have been shipped using unpaid postage labels, specifically targeting accounts with a negative balance in the EPS system. Here’s how it works:
EPS will monitor the duration an account maintains a negative balance.
When an account has sustained a negative balance beyond a configurable threshold, USPS Ship will automatically flag and intercept all postage labels purchased under that negative balance.
This ensures fraudsters who print a large volume of labels without intending to pay cannot exploit the system by continuing to submit manifests and ship packages even after their accounts are flagged or suspended.
Benefit:
The primary benefit of this feature is the prevention of financial loss and fraud by intercepting packages shipped with unpaid labels. It ensures that USPS Ship effectively targets and mitigates the actions of fraudulent customers, preventing them from exploiting the system. This is particularly crucial for maintaining revenue integrity and operational efficiency, safeguarding over $82M+ from being exploited by repeat offenders.</t>
  </si>
  <si>
    <t>Return Commercial rate when no contract is found for D8 Rate Holder role</t>
  </si>
  <si>
    <t>Change to the way Pricing treates the D8 roles. Today we attempt to lookup contract via Rate Holder role (03) and if not found then attempt via Payer role (01). This change is clarifying that if rate holder is provided in D8 we should only use rate holder role.</t>
  </si>
  <si>
    <t>Pano/ERR Integration - Rate card export/Report for SOX controls</t>
  </si>
  <si>
    <t>Pricing, Enterprise Pricing</t>
  </si>
  <si>
    <t>Need to define requirements. Functionality is needed to support SOX conrol validations. Specifically, need a report or export option for providing full rate card info to SOX group via Enterprise Rate Repository</t>
  </si>
  <si>
    <t>Enhanced Fraud Detection and MID Flexibility in InterceptPic API</t>
  </si>
  <si>
    <t>This feature enhancement comprises two key improvements to the InterceptPic API to bolster fraud detection and increase flexibility for USPS managers:
Blacklist Check on Error:
When the InterceptPic API returns an error, USPS Ship will automatically check the IMpb (Intelligent Mail package barcode) Blacklist. This additional step aims to improve the intercept rate of fraudulent packages.
User Story: As a USPS Manager, I want USPS Ship to check the IMpb Blacklist when the API would otherwise return an error to increase our intercept rate.
Optional MID Requirement:
The MID (Mailer ID) requirement in the InterceptPic API will be updated to optional. This change ensures that the payload does not fail if the MID field is missing, thus preventing unnecessary errors and enhancing the robustness of the API.
User Story: As a USPS Manager, I want USPS Ship to update the MID requirement in the request/response to optional, so the payload does not fail for missing a required field.</t>
  </si>
  <si>
    <t>Source Info for Repriced Packages</t>
  </si>
  <si>
    <t>Data, Pricing, Verify</t>
  </si>
  <si>
    <t>This enhancement will introduce a new feature in Data Services that provides visibility into the source of weight and dimensions used for pricing repriced packages. Specifically, it will indicate whether the data was derived from captured scan data or from the manifest. This feature aims to improve data transparency and accuracy in pricing processes, thereby enhancing operational efficiency and decision-making.
This feature is expected to streamline the pricing verification process and improve the overall user experience by providing clear insights into the data sources used for package pricing.</t>
  </si>
  <si>
    <t xml:space="preserve">BNS0249627 -  Billing Authorization Policy Enforcement </t>
  </si>
  <si>
    <t>Manifest, Payment</t>
  </si>
  <si>
    <t xml:space="preserve">BNS0249627 | Business Needs Statement | ServiceNow  </t>
  </si>
  <si>
    <t>USPS Smart Lockers</t>
  </si>
  <si>
    <t>USPS Smart Lockers - Request for Enterprise pricing support new label for new product</t>
  </si>
  <si>
    <r>
      <rPr>
        <b/>
        <sz val="9"/>
        <color rgb="FF000000"/>
        <rFont val="Aptos Narrow"/>
        <family val="2"/>
        <scheme val="minor"/>
      </rPr>
      <t xml:space="preserve">Manifest Search Report </t>
    </r>
    <r>
      <rPr>
        <sz val="9"/>
        <color rgb="FF000000"/>
        <rFont val="Aptos Narrow"/>
        <family val="2"/>
        <scheme val="minor"/>
      </rPr>
      <t>- Add Package MID</t>
    </r>
  </si>
  <si>
    <t>This feature is to update the Universal Manifest Search Report to include the Package MID (Mail Identifier). This enhancement will allow USPS employees to easily track and verify specific packages associated with each manifest.</t>
  </si>
  <si>
    <t>Misshipped ML Model Integration Feature</t>
  </si>
  <si>
    <t>Verify, ML Team</t>
  </si>
  <si>
    <r>
      <rPr>
        <b/>
        <sz val="9"/>
        <color rgb="FFFF0000"/>
        <rFont val="Aptos Narrow"/>
        <family val="2"/>
        <scheme val="minor"/>
      </rPr>
      <t>deprioritized 7-6-26 - talk to Jess Sain for more details [Dependent on RITM0491884 with NIT to create a Ship Databricks workspace]</t>
    </r>
    <r>
      <rPr>
        <sz val="9"/>
        <color rgb="FF000000"/>
        <rFont val="Aptos Narrow"/>
        <family val="2"/>
        <scheme val="minor"/>
      </rPr>
      <t xml:space="preserve"> This feature is to enhance the Misshipped process by integrating a Machine Learning Model that automatically removes false positives.</t>
    </r>
  </si>
  <si>
    <t>Unenrolled Ship Mailer Tracking</t>
  </si>
  <si>
    <t>ESM</t>
  </si>
  <si>
    <t>This feature is to track unenrolled Ship mailers. With most mailers now enrolled in Ship, errors related to unenrollment should be minimal, primarily affecting those still in eVS. If errors occur outside of this situation, it indicates a need for further investigation.</t>
  </si>
  <si>
    <t>Generate Unused Label Refunds for Letters and Flats (Data Feed)</t>
  </si>
  <si>
    <t>This feature is to enhance the Letters and Flats data feed by incorporating refunds for unused labels.</t>
  </si>
  <si>
    <t>Generate Unused Label Refunds for Letters and Flats (Online )</t>
  </si>
  <si>
    <t>This feature is to enhance the Letters and Flats Report by incorporating refunds for unused labels.</t>
  </si>
  <si>
    <t>Incorrect Destination ZIP Feedback Feature</t>
  </si>
  <si>
    <t>PEW</t>
  </si>
  <si>
    <t>This feature is to enhance the PEW system by addressing issues when the SSF entry facility is incorrect for the destination ZIP code. This enhancement arose from an analysis of misshipped false positives in November data, where the initial scan did not match the correct downstream location according to the manifest, although it was accurate for the package's actual destination. In addition to preventing these instances from being flagged as misshipped, the feature will also provide feedback to the shipper regarding inaccuracies in their manifest.</t>
  </si>
  <si>
    <t>Fraud - API accept multiple barcode</t>
  </si>
  <si>
    <t>This feature is to enhance the Fraud APIs to allow multiple barcodes to be allowed in the request/response of the InterceptPic and PackageStatus APIs</t>
  </si>
  <si>
    <t>Dynamic Pricing (see also ID 553)</t>
  </si>
  <si>
    <t>This feature is to introduce Dynamic Pricing (See also ID 553, Variable Pricing)</t>
  </si>
  <si>
    <t>Fraud DNI MID Reason updates</t>
  </si>
  <si>
    <t>This feature is to add more reason code for Whitelisted MIDs
Given a MID is added to Do Not Intercept (Whitelist) then provide these additional reason codes and definitions.
TBD</t>
  </si>
  <si>
    <t>International Priority Airmail Support Feature</t>
  </si>
  <si>
    <t>Data, Reporting,  Fraud, Mailer Review, Manifest, Verify, Scan, Monitoring, Pricing, Account Management, Payment</t>
  </si>
  <si>
    <t>Devin Qualls is setting up a meeting with the International Team to make sure they know to go to Pano for the info they need once ProgReg goes away</t>
  </si>
  <si>
    <t>Michelle</t>
  </si>
  <si>
    <t>Last Mile Delivery - Barcode update (FEDEX ONLY)</t>
  </si>
  <si>
    <t>Scan, Manifest, Payment, Pricing</t>
  </si>
  <si>
    <t>This feature is to allow USPS to read FEDEX barcodes to route the packages to the correct location.</t>
  </si>
  <si>
    <t>Additional Fields for Zebra Scans</t>
  </si>
  <si>
    <t>IV-MTR</t>
  </si>
  <si>
    <t>Data, Scan</t>
  </si>
  <si>
    <t>This feature is to ingest and pass through additional fields, such as userComments and nonstandardFeeReasons, from OPD for Zebra scans and transfer the values to downstream services without requiring any validations on the data.</t>
  </si>
  <si>
    <t>Refactoring Adhoc Reports Codebase for Clarity</t>
  </si>
  <si>
    <t>This feature is to address technical debt by refactoring the codebase of Adhoc Reports. As new features are added, it is essential to improve the code's readability and ensure it aligns with the Model-View-Control architecture.</t>
  </si>
  <si>
    <t>Clear Dimensional Weight Warning Update</t>
  </si>
  <si>
    <t>This feature is to address a concern raised by Matthew Jordan regarding a misleading warning message generated when a package is shipped without proper dimensional measurements. The current warning refers to "captured weight," which is confusing since the package has not yet been received. Matt suggests changing the warning to "Manifested Dimensional Weight exceeds actual weight" to provide a clearer understanding of the situation.</t>
  </si>
  <si>
    <t>Business Portal MegaMenu Feature</t>
  </si>
  <si>
    <t>Account Management, COP, Mailer Review, Pricing</t>
  </si>
  <si>
    <t>This feature is to support a new Business Portal MegaMenu, which enhances the existing system by replacing the Business Customer Gateway (BCG) with a more efficient Business Portal.</t>
  </si>
  <si>
    <t>Dispute API Deployment for TEM Support</t>
  </si>
  <si>
    <t>EMAS, Mailer Review, Pano, Reporting</t>
  </si>
  <si>
    <t>This feature is to deploy and support the Dispute API in the TEM environment for Pitney Bowes, enhancing its functionality.</t>
  </si>
  <si>
    <t>Proof of Delivery Verification</t>
  </si>
  <si>
    <t xml:space="preserve"> Pricing, EP</t>
  </si>
  <si>
    <t>This feature is to enhance the Proof of Delivery (POD) process, improving the way delivery confirmations are managed and recorded. The Ship Development team started working on a ROM request on February 18, which is due by February 20. A meeting to discuss this is planned for February 19.</t>
  </si>
  <si>
    <t>Refund Analysis: Add Rural, Offshore, Geo</t>
  </si>
  <si>
    <t>Data, Pricing, Reporting, Verify</t>
  </si>
  <si>
    <t>This feature is to improve refund analysis by updating the data sent to Data and Reporting services to include Rural, Offshore, and Geo information. This enhancement will assist in more detailed and accurate refund analysis.</t>
  </si>
  <si>
    <t>Census-Based Full Postage Fee Adjustment</t>
  </si>
  <si>
    <t>Data, Payment, Reporting, Verify</t>
  </si>
  <si>
    <t>This feature is to adjust how fees are assessed during the census process for packages with non-standard characteristics. Currently, if a package is identified as non-standard, a fixed non-standard fee is charged regardless of whether the usual census charge is below a certain threshold. The new enhancement proposes that the full postage amount, including both the census charge and the non-standard fee, be assessed together. For example, if the traditional census charge is $0.50 and the non-standard fee is $4.00, the current system charges only the $4.00 fee. Under the new system, the total charge would be $4.50, combining both amounts.</t>
  </si>
  <si>
    <t xml:space="preserve">Free Matter for the Blind - "Phase 2" </t>
  </si>
  <si>
    <t>Manifest, Pricing, Data, Reporting, Scan, Account Mgmt, Payment, Mailer Reivew</t>
  </si>
  <si>
    <r>
      <rPr>
        <b/>
        <sz val="9"/>
        <color rgb="FFFF0000"/>
        <rFont val="Aptos Narrow"/>
        <family val="2"/>
        <scheme val="minor"/>
      </rPr>
      <t xml:space="preserve">Remainig items on </t>
    </r>
    <r>
      <rPr>
        <b/>
        <sz val="9"/>
        <rFont val="Aptos Narrow"/>
        <family val="2"/>
        <scheme val="minor"/>
      </rPr>
      <t xml:space="preserve">BNS 221949   BUSINESS CONTACTS: PETE STARVASKI &amp; MARCIE SHEARL
</t>
    </r>
    <r>
      <rPr>
        <sz val="9"/>
        <rFont val="Aptos Narrow"/>
        <family val="2"/>
        <scheme val="minor"/>
      </rPr>
      <t>Removed from July 2025 PC (joyce funding) (TRC project - Linda Minden). Original PC BNS for FMB: BNS 221949  -----THIS LIKELY INCLUDES OTHER UPSTREAM SYSTEMS --------</t>
    </r>
  </si>
  <si>
    <t>Mailer Review Attachment MIME Handling</t>
  </si>
  <si>
    <t>Mailer Review, Service Now</t>
  </si>
  <si>
    <t>This feature is to enhance the Mailer Review's file attachment functionality by addressing MIME type mismatches. It will either reject mismatched files and notify the customer with an error message or upload all files to S3 and provide Service Now with a link to the file location. The final approach will be determined based on a security assessment.</t>
  </si>
  <si>
    <t>Lauren J</t>
  </si>
  <si>
    <t>Fraud STC and MID Data Enhancements</t>
  </si>
  <si>
    <t>This feature is to enhance the USPS Fraud system by improving data availability, research capabilities, and fraud detection processes. It includes creating a new MID/Account collection to provide additional MID data such as mailer name and CRID for research purposes. The system will pull in more MID data during updates and enable MID lookups when the IMpb contains a returns STC to verify if the MID is set up for returns. Additionally, the feature involves repairing data by removing returns STCs from the DNI list so they are no longer excluded from fraud checks, and uploading STC/MID combinations to improve fraud checks beyond just STC alone. New alerts will be created for data moving to the Fraud Service from Account Management and Verify. Finally, the STC information will be updated in a MongoDB collection to facilitate easier updates and research.</t>
  </si>
  <si>
    <t>Michael N.</t>
  </si>
  <si>
    <t>Fraud ECIP Updates</t>
  </si>
  <si>
    <t>This feature is to add logic to receive ECIP data for retail 95 barcodes to use for Fraud assessment </t>
  </si>
  <si>
    <t>Mike N</t>
  </si>
  <si>
    <t xml:space="preserve">Switch from CustReg fetch-related APIs to CIAM fetch-related APIs </t>
  </si>
  <si>
    <t>Pursuant to BNS0176494, CIAM team is building out replacement APIs for the various fetch APIs currently hosted by CustReg.  The CIAM versions will return JSON responses instead of the XML-based responses from CustReg.  Additional NCRB requests will need to be implemented to connect to the new CIAM endpoints.  It is unclear when the existing CustReg APIs will be retired, but the CIAM APIs are expecting to be available in the summer of 2026.</t>
  </si>
  <si>
    <t>Support Analysts by Program</t>
  </si>
  <si>
    <t>ServiceNow- assigning/reassigning analyst roles</t>
  </si>
  <si>
    <t>Update fraud logic to handle STC/MID combo logic</t>
  </si>
  <si>
    <t xml:space="preserve">Update Fraud APIs to 
Given a MID and STC combo is added to the to either the blacklist or whitelist then do the following checks:
IMpb check 
MID Check
DNI MID + STC combo = pass
DNI MID w/o STC combo = intercept (I think we just want to intercept it)
Blacklist MID + STC combo = intercept
Blacklist MID w/o STC combo = intercept
Example - if MID 123 is on DNI with no STC then it would always pass
if MID 456 is on the list with STC 2, then we check the pic if it also has STC 2 then pass if not it fails/gets intercepted </t>
  </si>
  <si>
    <t>Account Managament Audit Trail - Add items for tracking</t>
  </si>
  <si>
    <t>This feature will enable logging via the Acct Mgmt Audit Trail when there is a change to any of the following account settings: BCG username, Default EPA, Data Subscriptions (PDX+IV, PDX, None), Master MID</t>
  </si>
  <si>
    <t>BNS02434380 - APF2 File Download API - Proship</t>
  </si>
  <si>
    <t>This feature will enable an API Endpoint for EMAS to request APF2 Files (BNS0243438).</t>
  </si>
  <si>
    <t>Provide visibility into Returns “Average Weight” and “Average Price”</t>
  </si>
  <si>
    <t>Account Management, Verify</t>
  </si>
  <si>
    <t>This feature will allow all Returns profiles to display the Average Weight and the Average Price for both 30-day and 90-day settings. It will display this in Edit Profile and the USPS Returns Mailer Report. USPS Ship currently stores the averages in Verify. This feature would save it in Acct Management and display approximately 6 months of averages. This solution may only be possible in Edit Profile or Site Admin instead of the report, or it might need an entirely new tab/report.</t>
  </si>
  <si>
    <t>Update Ship Services to Use Global Verification Toggles</t>
  </si>
  <si>
    <t>Account Management, Payment, Verify, Reporting, Data</t>
  </si>
  <si>
    <t>This feature will allow the following functionality across other USPS Ship services: Account Management has a Global Admin feature that allows the user to set different verification types to Live, Pilot, or Off. These settings are communicated downstream via Redis but are not used by any other service. Additionally, the Verification Type names themselves were modeled after eVS Verifications and need to be modified to align with existing Ship verifications.  Comments on specific Verification Types as listed in the Global Admin screen -- 
a.	Census Shortpaid – change to “Census”
b.	Destination Entry – change to “Zone”
c.	Sample Quality Assessment – change to “Statistical Quality Assessment”
d.	Weight and Dimensional – this doesn’t tell me what it really is. Rename to more accurately display what this is intended for.</t>
  </si>
  <si>
    <t>Updates to Acct Mgmt Outbound Mailer Report</t>
  </si>
  <si>
    <t>This feature implements HQ requests for the Account Management Outbound Mailer Report:
•	Outbound Mailer Report – have it default to only ‘Live’ accounts instead of ‘All’
•	Outbound Mailer Report – add columns to the beginning/left of the table for Profile Edit and Site Admin Edit with appropriate links (like we have with the Live Outbound and/or PFS Mailer Report)
•	Outbound Mailer Report – add Outbound/PFS filter (like we have with Live Outbound and/or PFS Mailer Report)</t>
  </si>
  <si>
    <t>Add Company Names to Third Party Billing Authorization Report</t>
  </si>
  <si>
    <t>This feature implements an HQ request on the Account Management TPB Authorization Report to add fields for Owner Company Name and Shipper Company Name.</t>
  </si>
  <si>
    <t>Updates to Acct Mgmt Home Page</t>
  </si>
  <si>
    <t>This feature implements requested enhancements to the Account Management home page as follows:
•	Update to the page title for the home page – this name shows up in the browser tab. Currently it has “Mid Profile Search”. Requesting to change this to “USPS Ship Account Management”.
•	In the Enrollment Summary section, add comma / thousand separator for all of the number fields.
•	Tell users that the Outbound report provides analyst information. If adding small popup text when hovering cursor over the link, display text: “Provides general account information including Analyst assignments.”</t>
  </si>
  <si>
    <t>Updates to Acct Mgmt Edit Mailer Profile pages for Outbound, Returns, Postage Due, and PRS</t>
  </si>
  <si>
    <t>This feature will change the page title for the Edit Mailer Profile pages from “Mid Profile Search” to “Account Profile Search”.</t>
  </si>
  <si>
    <t>Updates to Acct Mgmt Mailer Listing Reports</t>
  </si>
  <si>
    <t>This feature will ensure the header section is static and does not disappear/scroll with the table at the bottom for the following reports, using the Postage Due Mailer Report as a model.
a.	Outbound Mailer Report
b.	Live Outbound and/or PFS Mailer Report
c.	Live PRS Mailer Reports
d.	USPS Returns Mailer Report</t>
  </si>
  <si>
    <t>Visual Changes to Acct Mgmt</t>
  </si>
  <si>
    <t>This feature implements the following visual changes for Account Management:
•	Change color scheme of all of Account Management to match that of Reporting which should follow the style guide.
•	Fix USPS logo in upper-left. The version there now is distorted/stretched. Should be one of our standard logos per the USPS style guide – preference is to use the same one Reporting uses. The logo should also act as a link to http://www.usps.com.
•	In the header section, align the Disputes &amp; Refunds, Reports, and Menu links with the USPS Ship – Account Management link on the left. Currently not aligned vertically.</t>
  </si>
  <si>
    <t xml:space="preserve">Update Assessed Cubic Tier </t>
  </si>
  <si>
    <t>This feature will update the Assessed Cubic Tier verbiage to say 0.1 vs for all tiers 0.1 to 1.0</t>
  </si>
  <si>
    <t>OA exclusion for Zone Census Adjustment</t>
  </si>
  <si>
    <t>This feature will exclude a package if it has an OA scan when determining whether a package meets the criteria for a Zone census adjustment.</t>
  </si>
  <si>
    <t>Fraud Consume IDS from EEB Stream E-107133</t>
  </si>
  <si>
    <t>Fraud, EEB</t>
  </si>
  <si>
    <t>This feature enables consuming EEB data in order to identify barcodes from IDS to be able to increase barcodes added to do not intercept.</t>
  </si>
  <si>
    <t>Fraud - International Updates E-107134</t>
  </si>
  <si>
    <t>Fraud, Manifest, International</t>
  </si>
  <si>
    <t>This feature will improve the amount of fraud captured by being able to perform a payment check on international barcodes</t>
  </si>
  <si>
    <t>CICRS Claims data provisioning through IV-MTR</t>
  </si>
  <si>
    <t>Data, IV-MTR, Webhooks</t>
  </si>
  <si>
    <t>This feature will enable providing claims data through IV-MTR.</t>
  </si>
  <si>
    <t>Fraud - 91 Barcode Handling</t>
  </si>
  <si>
    <t>This feature will add logic to the Fraud Service APIs to handle and check barcodes with App ID 91, as there is an increase in volume with these barcode types.</t>
  </si>
  <si>
    <t>Fraud - STC-MID Enhancements</t>
  </si>
  <si>
    <t>This feature will update Fraud service to check MID formatting when returns STC is used to better intercept fraud pieces.</t>
  </si>
  <si>
    <t>Fraud - Realtime MIDs</t>
  </si>
  <si>
    <t>This feature will update Fraud service to call MID API to get realtime MID updates to use in intercept logic.</t>
  </si>
  <si>
    <t>Fraud - Sampling Logic Updates</t>
  </si>
  <si>
    <t>This feature will update API requests from sampling scans to better reject pieces that should not ingest thru a dock.</t>
  </si>
  <si>
    <t>APIs Redundancy - BNS0275283</t>
  </si>
  <si>
    <t>unknown</t>
  </si>
  <si>
    <t>Unknown</t>
  </si>
  <si>
    <t>Emergency CIO ask- Matt Petrosky requesting ROMs</t>
  </si>
  <si>
    <t>Michelle W</t>
  </si>
  <si>
    <t>Package Transaction Details Feed Enhancements</t>
  </si>
  <si>
    <t>This feature will enable the following enhancements to the Package Transaction Details Feed:
1) File should contain all records, and only the records, for a single Invoice ID with the Invoice Amount.
2) Add a field called ‘Invoice Amount’ and the value should be the total amount due for the Invoice ID.
3) Current file has a field named ‘Invoice Date’, however the date value is the date that payment is due. Add a Payment Due Date field and change the value of ‘Invoice Date’ field to the invoice date value.
4) Lock down the file layout to match the Data_Definition, similar to the work that was performed on Outbound Transactions Payment Details.
5) File should be delivered by USPS to the specified user directory on the sFTP server, only when the file is complete (contains all records for the Invoice ID). Setting data feed frequency to daily, where most days no files are pulled, but on the day that the file is complete and delivered it will be retrieved.</t>
  </si>
  <si>
    <t>Pricing Notification data feed update to source the data from a transaction table</t>
  </si>
  <si>
    <t>Pricing notification includes more than one pricing notification record for the same package when/if the same package is priced more than once and to avoid including the same package more than once in the data feed. This feature will change the source of the data feed to a transaction table which will help in making sure that only the record that was used to pay for the package gets sent in the data feed.</t>
  </si>
  <si>
    <t>Remove Zone API Call in Manifest</t>
  </si>
  <si>
    <t xml:space="preserve">Manifest, Pricing </t>
  </si>
  <si>
    <t>This feature will stop Manifest from calling Pricing Zone API. This is a redundant call because pricing does the same thing when manifested packages get to pricing.</t>
  </si>
  <si>
    <t>Tosin A</t>
  </si>
  <si>
    <t>Ship Monitoring Service</t>
  </si>
  <si>
    <t>Pricing, Payment, Data, Reporting</t>
  </si>
  <si>
    <t>This feature will complete work to enable a dedicated service meant to provide visibility, observability, and reporting on service health and failed messages.</t>
  </si>
  <si>
    <t>Brian N</t>
  </si>
  <si>
    <t>Addressing Sonar/X-ray CVEs for Data and Reporting Services</t>
  </si>
  <si>
    <t>This feature will remedy vulnerabilities detected by Sonar/X-ray. Affected software libraries, associated dependencies will be upgraded to the necessary versions.</t>
  </si>
  <si>
    <t>Auto-refresh Ship Online Report On Filter Selection</t>
  </si>
  <si>
    <t>This enhancement improves the Ship online report by automatically refreshing the report results whenever a user updates filter selections; such as Company Name, Mail Class, Error/Warning Type, or Transaction Type.</t>
  </si>
  <si>
    <t xml:space="preserve">Apply Business Rules for USPS Marketing Mail when over maximum weight/dims for Mail Class </t>
  </si>
  <si>
    <t>This feature will apply Business Rules for USPS Marketing Mail when over maximum weight/dims for Mail Class.</t>
  </si>
  <si>
    <t>Census Verification Online Report 'Noncompliance Fee' relabel</t>
  </si>
  <si>
    <t>This enhancement updates the Census Verification Online Report by renaming the “Noncompliance Fee” to “Dimensional Noncompliance Fee,” making it easier to distinguish from the newly added "Hazmat Noncompliance Fee".</t>
  </si>
  <si>
    <t>Attribute Scan Logic Update for Two Zebra Scans</t>
  </si>
  <si>
    <t>Today if two Zebra scans exist for a PIC, neither are used for the attribute scan. This feature provides requirements for selecting one of the scans for use in the attribute scan.</t>
  </si>
  <si>
    <t>Enhance Payment Service to publish Dispute ID for Joint Review transactions to EPS</t>
  </si>
  <si>
    <t>This feature will enhance Payment Service to publish Dispute ID for Joint Review transactions to EPS in flexField8. Note: BNS is needed to support the funding for this enhancement request.</t>
  </si>
  <si>
    <t>Support new Free Matter for the Blind (FMB) HAZMAT STCs</t>
  </si>
  <si>
    <t>Account Management, Scan, Manifest, Pricing</t>
  </si>
  <si>
    <t xml:space="preserve">This feature will allow Ship to support the 2 new STCs PTR added to track Free Matter for the Blind containing Hazardous Material, as follows:
Service Type Code:	Class of Mail Code:	Service Description:	Banner Text:	Extra Service(s):
132	DM	Matter for the Blind Hazardous Materials	USPS TRACKING # HAZMAT	857
524	DM	Matter for the Blind Return Hazardous Materials	USPS TRACKING # HAZMAT	857, 452
See email chain "New Service Type Codes for Free Matter for the Blind - HAZMAT - July 12, 2026 PRICE CHANGE"
</t>
  </si>
  <si>
    <t>Add nickname to Third Party Billing (TPB) PB API calls with COP</t>
  </si>
  <si>
    <t>Account Management, COP</t>
  </si>
  <si>
    <t>Request from COP on behalf of Alexandra Robleto on third party billing authorizations - When the TPB payer creates an authorization request for the shipper - they designate a friendly nick name, but this nick name is not passed to Ship, so when COP retrieves TPB authhorizaitons from Ship to display back to the user, the nick name is lost.  The request is to modify the Ship Acct Mgmt TPB authorization API to ingest an optional nick name parameter (length 255) and modify the Ship Acct Mgmt TPB authorzation retrieval API to include the nick name in the data passed back to COP.</t>
  </si>
  <si>
    <t>Removal of warning for Mail Owner CRID from PEW</t>
  </si>
  <si>
    <t>Complete</t>
  </si>
  <si>
    <t>R12.0.1.0</t>
  </si>
  <si>
    <t>BNS167580 – IMpb Compliance for Returns (Verify Service)</t>
  </si>
  <si>
    <t>Completion of functionality for this Price Change BNS</t>
  </si>
  <si>
    <t>Reporting Look and Feel</t>
  </si>
  <si>
    <t>B-834438</t>
  </si>
  <si>
    <t>Data &amp; Reporting: Make all the clickable button gray on all the report</t>
  </si>
  <si>
    <t>B-834687</t>
  </si>
  <si>
    <t>Mailer Review - need ability to refund any EPA linked to a Permit, not just default</t>
  </si>
  <si>
    <t>R12.0.2.0</t>
  </si>
  <si>
    <t>Reports issue - scrolling problem when multiple pages of results</t>
  </si>
  <si>
    <t>VersionOne story B-833568</t>
  </si>
  <si>
    <t>URL update to USPS Ship Reporting app URL transition from .com to .gov.</t>
  </si>
  <si>
    <t>Census: Reporting Look and Feel "Part 2"</t>
  </si>
  <si>
    <t>User story B-836218 1. Census report download, the csv has data, but the excel do not for the dimensions scan source. 
2. SQA report: internal vs. external: table spacing and the dates are wrapped on external. 
3.On the IMpb Non-Compliance Report: spacing between the upper box, card body and the tabs and also on the first tab between the IMpb Compliance Error report  title and download results the external has more spacing between them then the internal. 
4. Make the 'Save Progress' and 'Drop Selected' buttons the same gray consistent with the Search buttons per the USPS style guide.</t>
  </si>
  <si>
    <t>Reporting Scoll Bar</t>
  </si>
  <si>
    <t>User Story B-833568
Given:
When viewing a report with multiple pages,
When:
if you scroll down the page of results in the table, anywhere down from the top, then click to the next page of results, that page loads at the same scroll point down the page.
Then:
It should load at the top when you click to a new page.</t>
  </si>
  <si>
    <t>Zebra Scanner and NMO Sampling</t>
  </si>
  <si>
    <t>Ad-hoc daily report for ShipHero commissions (related to ID# 157 report and #158 data feed)</t>
  </si>
  <si>
    <t>Show 'Manifest Rejected' on Unmanifested Report</t>
  </si>
  <si>
    <t>Manifest, Reporting, Verify</t>
  </si>
  <si>
    <t>R13.0.0.0</t>
  </si>
  <si>
    <t>Account Summary Report in Acct Mgmt</t>
  </si>
  <si>
    <t>Reporting 'true up' after assessment process completes - Unmanifested &amp; Duplicates</t>
  </si>
  <si>
    <t>Payment, Reporting</t>
  </si>
  <si>
    <t>If Reporting is displaying a package that it doesn’t get a Payment record for, that package will be removed from the report
If Reporting gets a Payment record for a package it isn’t displaying on a report, that package will be added to the report
Differences will continue to be logged &amp; researched
MWB 3/14/2024: As of this point, IMpb is not going to be included</t>
  </si>
  <si>
    <t>MFA for Account Management</t>
  </si>
  <si>
    <t>CISO directive; Only 1/2 of ROM funding was awarded</t>
  </si>
  <si>
    <t>BNS160273 (PC) - Omnibus Price Change</t>
  </si>
  <si>
    <t>BNS165200 (PC) - Updates for USPS Returns</t>
  </si>
  <si>
    <t>BNS163191 (PC) - eDoc submitter CRID (dependent on IV-MTR)</t>
  </si>
  <si>
    <t>New Platform Commissions Data Feed (Sales Mod Workstream 4; Note ID# 157 for a report)</t>
  </si>
  <si>
    <t>CIO mandate to make top priority and deploy 6/20</t>
  </si>
  <si>
    <t>Census Attributes Data Feed - Remove postage values from reports and data feeds if we are not charging / refunding (former wording: Remove postage variances &lt; $1 from Reporting for LIVE Shippers)</t>
  </si>
  <si>
    <t>(email "USPS Ship - Census of &lt; $1")</t>
  </si>
  <si>
    <t>R13.0.1.0</t>
  </si>
  <si>
    <t>New "Outbound Transactions Payment Details Data Feed" - Combine Domestic Outbound data feed and Pricing Notification data feed</t>
  </si>
  <si>
    <t>Data, Account Management, Pricing</t>
  </si>
  <si>
    <t>Change name of 'Pending Unmanifested Report' to 'Unmanifested Report'</t>
  </si>
  <si>
    <t>Ensure it changes on Report menu as well as on the report itself</t>
  </si>
  <si>
    <t>Duplicate &amp; Unmanifested Data Feeds - package warnings, warning-removals for Live and Pilot outbound to appear on data feeds</t>
  </si>
  <si>
    <t>IT exec request</t>
  </si>
  <si>
    <t>Add ACH Withdrawal Amount to online Transactions Details Report</t>
  </si>
  <si>
    <t>IT exec request
1. Add ‘ACH Withdrawal Amount’ as the 2nd column
2. Rename ‘Transaction Amount’ to ‘EPS Transaction Amount’
3. Same changes in both csv and Excel downloads</t>
  </si>
  <si>
    <t>Sending transaction data to UAP, Phase 1 (Sales Mod Workstream 3) - Once a day push</t>
  </si>
  <si>
    <t>Account Management, Data, Mailer Review, Manifest, Pricing, Reporting, Scan, Verify</t>
  </si>
  <si>
    <t>IT exec request
a. Setup a Kafka UAP Transaction topic on the Ship Kafka cluster for Transaction data
b. Build a Kafka Producer process to be launched from the CDM Cron Job
c. Once the CDM extract is complete each day launch the Kafka producer to package each transaction into a JSON message and post it to the UAP Transaction topic
d. UAP would setup Mirror Maker to replicate the Kafka topic from AWS to an on Prem or on Azure Kafka topic for consumption by UAP
Will need data from all services - end to end returns, adjustments, etc.</t>
  </si>
  <si>
    <t>Add Customer Reference ID 1 &amp; 2, and D1 Transaction ID on Details - Domestic Outbound Data feed</t>
  </si>
  <si>
    <t>Add customer reference ID 1 &amp;2 on Details - Domestic Outbound Data feed</t>
  </si>
  <si>
    <t>Add ACH Withdrawal ID, Customer Reference ID 1, and Cust Reference ID 2 on Census Attributes Data feed (combined with ID# 173)</t>
  </si>
  <si>
    <t xml:space="preserve">IT exec request; Add Customer reference ID 1 &amp; 2 on Census Attributes Data feed </t>
  </si>
  <si>
    <t>Add Customer Reference ID 1 &amp; 2 on online Census Verification Report</t>
  </si>
  <si>
    <t>Split into 2 stories (See ID # 198)</t>
  </si>
  <si>
    <t>BNS190732 NSA Consolidator</t>
  </si>
  <si>
    <t>Pricing, Manifest, Verify</t>
  </si>
  <si>
    <t>"PMG Request" (Request to deploy by 7/14/24 - but no Ship customers)
Not a lot of clarity on what this work is, requirements, due date, etc.</t>
  </si>
  <si>
    <t>Fraud - Auto-shutoff of Fraud checks based on System Health</t>
  </si>
  <si>
    <t>Fraud - Incorporate STC Whitelist logic into Intercept API</t>
  </si>
  <si>
    <t>Fraud - Update Mailer Whitelist API based on a specification change from API Governance</t>
  </si>
  <si>
    <t>Turn on automated collections - Unmanifested &amp; Duplicates</t>
  </si>
  <si>
    <t>Account Management, App Support</t>
  </si>
  <si>
    <t>Should be able to turn on once 'true up' (ID #77) is complete and verified. When automated collection is turned on, only the assessments created that month will be collected (i.e. Auto collect on April 15th will only collect the assessments done on April 8th, which would be the unmanifested for March)</t>
  </si>
  <si>
    <t>R13.0.1.1</t>
  </si>
  <si>
    <t>Add package postage amount to Unmanifested Report. Will be blank during month (needs a tooltip explaining why), and would be populated at month close (8th)</t>
  </si>
  <si>
    <t>CIO Request</t>
  </si>
  <si>
    <t>R13.0.2.0</t>
  </si>
  <si>
    <t>Unused Label Refund Request API (Sales Mod Workstream 4)</t>
  </si>
  <si>
    <t>We need to issue a dispute ID with this. (8/05: EMAS deployment is 8/28, so this won't be available until 8/29)</t>
  </si>
  <si>
    <t>Platform Commissions to OAP / NAOFA (Sales Mod Workstream 4)</t>
  </si>
  <si>
    <t>Request from Accounting</t>
  </si>
  <si>
    <t>Create new Variance Report Data Feed (Fields should match online Variance report)</t>
  </si>
  <si>
    <t>Do not mark PMOD/PMEOD package scan attributes as trusted</t>
  </si>
  <si>
    <t>Scans</t>
  </si>
  <si>
    <r>
      <t xml:space="preserve">PMOD packages are receiving trusted attributes that are a fraction of actual, causing refunds. Need to </t>
    </r>
    <r>
      <rPr>
        <i/>
        <sz val="9"/>
        <rFont val="Aptos Narrow"/>
        <family val="2"/>
        <scheme val="minor"/>
      </rPr>
      <t xml:space="preserve">not </t>
    </r>
    <r>
      <rPr>
        <sz val="9"/>
        <rFont val="Aptos Narrow"/>
        <family val="2"/>
        <scheme val="minor"/>
      </rPr>
      <t>allow census adjustments for PMOD/PMEOD</t>
    </r>
  </si>
  <si>
    <t>Trusted Scales - Do not trust weights or dimensions for packages with PMOD/PPMOD STCs</t>
  </si>
  <si>
    <t>Add MID User Name and MID Owner Name to Unmanifested Report [Related ID# 195 for data feed]</t>
  </si>
  <si>
    <t>Display all Unused Label Refund requests (from MR and API) in Mailer Review Requests section</t>
  </si>
  <si>
    <t>R14.0.0.0</t>
  </si>
  <si>
    <t>MFA for Reports</t>
  </si>
  <si>
    <t>Integrate Mailer Review with Salesforce Webform</t>
  </si>
  <si>
    <t>Sales Mod DAR</t>
  </si>
  <si>
    <t>Automate approval logic for single package disputes (Mailer Review)</t>
  </si>
  <si>
    <t>BNS176613 – APV Dispute Automation</t>
  </si>
  <si>
    <t>Priority moved to end of FY due to APV Help Desk resource cut</t>
  </si>
  <si>
    <t>Update online Variance Report to show manifested values</t>
  </si>
  <si>
    <t>Manifest
Reporting</t>
  </si>
  <si>
    <t>Payment - send feeder system email to OAP distribution list for commission files</t>
  </si>
  <si>
    <t>Payment
Reporting</t>
  </si>
  <si>
    <t>Request from Abdul, feeder systems send email along with AFT'd file</t>
  </si>
  <si>
    <t>Overlabels for Fraud checks only</t>
  </si>
  <si>
    <t>Manifest, Fraud</t>
  </si>
  <si>
    <t>Acct Mgmt APIs - new API for EMAS to validate Live enrollment</t>
  </si>
  <si>
    <t>Request from Angela/Kevin; ICD drafted</t>
  </si>
  <si>
    <t>Acct Mgmt APIs - enhance APIs for COP to return Master MID and retrieve by MID</t>
  </si>
  <si>
    <t>Request from COP/Vikram; ICD drafted</t>
  </si>
  <si>
    <t>Acct Mgmt APIs - provide API for PFS to check for Outbound enrollment</t>
  </si>
  <si>
    <t>Request from PFS</t>
  </si>
  <si>
    <t>TEM environment reporting - Phase 1: Online reports</t>
  </si>
  <si>
    <t>Reporting, Payment</t>
  </si>
  <si>
    <t>9/19 - Dependent on EPS (Robert Folk / Trinh) doing an account refresh. 9/26 - Still issues on the EPS side.
9/03: available to internal users, however no data (being investigating). Not available to external, waiting on additional work from EPS (see email "RE: [External] EPS TEM")
10/1: Need to test with an external account in TEM</t>
  </si>
  <si>
    <t>eDoc Submitter CRID - Phase 2  (ask Phalgun about this)</t>
  </si>
  <si>
    <t>Ensure all packages are charged. Double charges and no charges due to eVS charging header MID and Ship charging detail MID.</t>
  </si>
  <si>
    <r>
      <t xml:space="preserve">need a follow-on change to handle not double charging in the scenario where the D1 MID is enrolled in Ship and the EFN MID is enrolled in eVS(Combined with ID #153, 59) Ensure correct customer is charged for ALMS international shipments (see Pacejet example in March/April 2024: "Ship charging for eVS packages (international serial # range issue - Pacejet - CRID 24966454)")
Currently we go to ALMS, but when another customer charges beyond their assigned range. Customer is getting charged in eVS AND wrong customer gets charged in Ship. See item 132 - may be related and solution might be the same. </t>
    </r>
    <r>
      <rPr>
        <i/>
        <sz val="9"/>
        <rFont val="Aptos Narrow"/>
        <family val="2"/>
        <scheme val="minor"/>
      </rPr>
      <t xml:space="preserve">Question: If Ship is able to check eVS to see if they charge for every D1 MID as long as H1 is in eVS will that cause problems? Eli will come up with scenarios to see what we need to consider. Possible scenarios: 
1.	H1 EFN MID is enrolled in eVS [all D1s will be charged by eVS]
  a.	D1 MID* is not enrolled in Ship – eVS charges because of the H1 MID, Ship doesn’t charge – we’re good here
  b.	D1 MID* is enrolled in Ship – eVS charges because of the H1 MID, Ship charges because of the D1 MID – double charge
2.	H1 EFN MID is not enrolled in eVS [eVS won’t charge anything]
  a.	D1 MID* is not enrolled in Ship – eVS doesn’t charge, Ship doesn’t charge – no charge, free package
  b.	D1 MID* is enrolled in Ship – eVS doesn’t charge, Ship charges – we’re good here
* “D1 MID” includes 13-character barcode ranges where USPS Ship looks to ALMS to retrieve the MID owner, and charges that MID owner
</t>
    </r>
    <r>
      <rPr>
        <sz val="9"/>
        <rFont val="Aptos Narrow"/>
        <family val="2"/>
        <scheme val="minor"/>
      </rPr>
      <t xml:space="preserve">
NOTE: The following was implemented on 10/27 in 14.0.1.0 and should be corrected
REQs for manifest:
If D1 MID is enrolled in Ship
  charge D1 MID
Else
 if EFN MID enrolled in Ship
   charge to the EFN MID
 Else
  don't charge for this package (written to topic: pkgplfm-manifest-{env}-ignored-ssf-package) &lt;-- Need follow up here to ensure these packages were charged in eVS, and if not write to a report(?)
NOTE: The following should be implemented
If EFN MID is enrolled in eVS
Don’t charge package     //* All packaged will be charged in eVS *//
Else
 if D1 MID is enrolled in Ship
               Charge D1 MID                  //* Ship’s normal process of charging the D1 *//
               … if we can’t charge the D1 MID for some reason, we need to try and charge the EFN MID
 else
              Charge EFN MID
               … if we can’t charge the EFN MID here, we need to write this to some sort of report
End.
</t>
    </r>
  </si>
  <si>
    <t>R14.0.1.0</t>
  </si>
  <si>
    <t>Fraud - auto retry SPEF files that fail to load on first attempt</t>
  </si>
  <si>
    <t>Requires a change to the Akka framework</t>
  </si>
  <si>
    <t>Fraud - Third Party Package Release API</t>
  </si>
  <si>
    <t>Ability to call an endpoint hosted by third party supplier to request retrieval/release of a package. Need confirmation on priority. Need to determine approach (how/when API will be called, does PTR need to be notified for messaging to customer, etc.)</t>
  </si>
  <si>
    <t>R14.0.2.0</t>
  </si>
  <si>
    <t>Overlabel processing</t>
  </si>
  <si>
    <t>CIO requested this functionality be added to Ship based on DHL request (v2.0 D1 field #75 'Original Tracking Number')</t>
  </si>
  <si>
    <t>Include actual Zone in pricing responses for non-zoned products</t>
  </si>
  <si>
    <t>Auctane request to return Zone in API responses even when the product is not a zoned product. Today these cases can return "00" or null.</t>
  </si>
  <si>
    <t>Fraud - API for third party supplier to perform final intercept check</t>
  </si>
  <si>
    <t>Supplier may be provided SV scanners, so this may be integration with SV rather than truly external. Need final direction here.</t>
  </si>
  <si>
    <t>International ranges need to be retrieved from EMAS in addition to ALMS</t>
  </si>
  <si>
    <t>Data
Mailer Review
Manifest
Payment
Reporting
Scans
Verify</t>
  </si>
  <si>
    <t>EMAS deploying 10/23</t>
  </si>
  <si>
    <t>Transaction History Report as a Data Feed (This is an EPS report) - Also need IV-MTR changes for subscription</t>
  </si>
  <si>
    <t>IV-MTR: 1/11/25</t>
  </si>
  <si>
    <t>R14.0.3.0</t>
  </si>
  <si>
    <t>Pilot Reporting Phase 2 (Online Census report - overpaid/short paid, and census included on landing page)</t>
  </si>
  <si>
    <t>Pilot Reporting Phase 1 (Manifest) is complete; Phase 2 will be census verifications, NOT monthly assessments</t>
  </si>
  <si>
    <r>
      <t>Fraud - Intercepted Packages Webhook</t>
    </r>
    <r>
      <rPr>
        <i/>
        <sz val="9"/>
        <rFont val="Aptos Narrow"/>
        <family val="2"/>
        <scheme val="minor"/>
      </rPr>
      <t xml:space="preserve"> (Data and Reporting piece scheduled for 1/5)</t>
    </r>
  </si>
  <si>
    <t>Fraud, Data</t>
  </si>
  <si>
    <t>UPC scan Logic update to have 2 UPC scans before we use it</t>
  </si>
  <si>
    <t>This item from Kellie "may" also solve BNS173065</t>
  </si>
  <si>
    <t>R15.0.0.0</t>
  </si>
  <si>
    <t>Mailer Review - Add Return Mail Class Support for Refunds</t>
  </si>
  <si>
    <t>Business Team request for enhancing ServiceNow screens. Requires small update in Mailer Review</t>
  </si>
  <si>
    <t>MFA for Mailer Review (CISO Security mandate)</t>
  </si>
  <si>
    <t>Add 'Only include transactions with an ACH Withdrawal ID' to Census Attributes Data Feed</t>
  </si>
  <si>
    <t xml:space="preserve">TPB "Third Party Billing" - Adding 4 new Methods of Payment (Permits / "D1" solution) Pete Starvaski BNS 153079 </t>
  </si>
  <si>
    <t>Nordstrom / TPB</t>
  </si>
  <si>
    <t>9/30/24: BNS 153079 is funded and being tracked via PPM Project 104769
ROM sent 8/29; resent 9/04. Reqs in BNS 153079. Add the following methods of payment in SSF:
08 - Bill Consignee, Permit
09 - Bill Third Party, permit
21 - Bill Consignee, EPS
22 - Bill Third Party, EPS</t>
  </si>
  <si>
    <t>Fraud - Store fraud intercept API responses to DB</t>
  </si>
  <si>
    <t>Create new Transaction Details Data Feed (Fields should match online Transaction Details Report)  [Shippo's #1 priority]</t>
  </si>
  <si>
    <t xml:space="preserve">IV-MTR: 1/11/25
Add a new data feed which would have all the data and the data elements that are currently on the Transaction Details Report (Shippo's request). </t>
  </si>
  <si>
    <r>
      <rPr>
        <sz val="9"/>
        <color rgb="FF000000"/>
        <rFont val="Aptos Narrow"/>
        <family val="2"/>
        <scheme val="minor"/>
      </rPr>
      <t xml:space="preserve">Add separate columns for NSV and NSL to the </t>
    </r>
    <r>
      <rPr>
        <b/>
        <sz val="9"/>
        <color rgb="FF000000"/>
        <rFont val="Aptos Narrow"/>
        <family val="2"/>
        <scheme val="minor"/>
      </rPr>
      <t>online Variance Report</t>
    </r>
    <r>
      <rPr>
        <sz val="9"/>
        <color rgb="FF000000"/>
        <rFont val="Aptos Narrow"/>
        <family val="2"/>
        <scheme val="minor"/>
      </rPr>
      <t xml:space="preserve">. Ensure consistency with Data Fields on the Data Feed as well. </t>
    </r>
  </si>
  <si>
    <r>
      <rPr>
        <sz val="9"/>
        <color rgb="FF000000"/>
        <rFont val="Aptos Narrow"/>
        <family val="2"/>
        <scheme val="minor"/>
      </rPr>
      <t xml:space="preserve">Add separate columns for NSV and NSL to the </t>
    </r>
    <r>
      <rPr>
        <b/>
        <sz val="9"/>
        <color rgb="FF000000"/>
        <rFont val="Aptos Narrow"/>
        <family val="2"/>
        <scheme val="minor"/>
      </rPr>
      <t>online Variance Report</t>
    </r>
    <r>
      <rPr>
        <sz val="9"/>
        <color rgb="FF000000"/>
        <rFont val="Aptos Narrow"/>
        <family val="2"/>
        <scheme val="minor"/>
      </rPr>
      <t xml:space="preserve">. Ensure consistency with Data Fields on the Data Feed as well. B-924973
</t>
    </r>
  </si>
  <si>
    <t>R15.0.1.0</t>
  </si>
  <si>
    <t>Support Unused Label Requests for International Labels (online and API )</t>
  </si>
  <si>
    <t>Mailer Review, Scan, Manifest</t>
  </si>
  <si>
    <t>CIO request for ETSY</t>
  </si>
  <si>
    <t>Mailer Review - Send additional dispute info fields to Service Now (mid, crid, assessment month, assessment year)</t>
  </si>
  <si>
    <t>PMOD Autocorrection</t>
  </si>
  <si>
    <t>If
- Class Of Mail = “PM”
- Weight &gt; 70 pounds
- Processing category = “O” (‘OPEN AND DISTRIBUTE’)
- Rate Ind &lt;&gt; ‘O5’, ‘O6’, ‘O7’  [note: letter O]
---O5 = Pallets Surface Only (Pub 199: “Pallet(NSA’sOnly)”)
---O6 = Full Pallet Box Surface Only (Pub 199: “FullPostalPaks(NSAonly)”
---O7 = Half Pallet Box Surface Only (Pub: “O7-HalfPostalPaks(NASonly)”)
Then
- Autocorrect/default Rate Ind := ‘O5’ ?? (need to verify we want ‘O5’)</t>
  </si>
  <si>
    <t>EntPricing - First Class Mail International Letters/Flats Support</t>
  </si>
  <si>
    <t>CIO mandated 12/15 date</t>
  </si>
  <si>
    <t>EntPricing - First Class Mail Postcard Support</t>
  </si>
  <si>
    <t>Enable self-migration through COP+Acct Mgmt for eVS mailers</t>
  </si>
  <si>
    <t>need COP-PO-eVS-Ship</t>
  </si>
  <si>
    <t>Reporting - Add Excel Download to Landing Page - Internal complete, external in progress</t>
  </si>
  <si>
    <r>
      <t xml:space="preserve">Add ACH Withdrawal ID, MID User Name, MID Owner Name to the </t>
    </r>
    <r>
      <rPr>
        <sz val="9"/>
        <rFont val="Aptos Narrow"/>
        <family val="2"/>
        <scheme val="minor"/>
      </rPr>
      <t>Unmanifested Packages Data Feed [Related ID# 194 for online report]</t>
    </r>
  </si>
  <si>
    <t>Ensure all are on online report; IV-MTR: 2/01/25</t>
  </si>
  <si>
    <t>Add ACH Withdrawal ID, EPS Transaction ID, MR Dispute ID to Unused Labels Data feed</t>
  </si>
  <si>
    <t>Add ACH Withdrawal ID to Duplicate Packages - Outbound Data Feed</t>
  </si>
  <si>
    <t>Add 'Only include transactions with an ACH Withdrawal ID' to Unused Labels Data Feed (pre-req: ID# 202)</t>
  </si>
  <si>
    <t>IV-MTR: 2/01/25</t>
  </si>
  <si>
    <t>Add 'Only include transactions with an ACH Withdrawal ID' to Unmanifested Packages Data Feed (pre-req ID# 220)</t>
  </si>
  <si>
    <t>Add 'Only include transactions with an ACH Withdrawal ID' to Duplicate Packages - Outbound Data Feed (pre-req ID# 221)</t>
  </si>
  <si>
    <t>Misshipped change to only use 3D ZIP from Address file in comparison to captured ZIP for SCF and NDC entry</t>
  </si>
  <si>
    <t>Fraud, EMAS</t>
  </si>
  <si>
    <t>Misshipped enhancement discussed with Angela Lawson</t>
  </si>
  <si>
    <t>Rate File Subscription Service (Sales Mod)</t>
  </si>
  <si>
    <t>Pricing, Enterprise Pricing, Data</t>
  </si>
  <si>
    <t xml:space="preserve">Misshipped charge packages the greater of the manifested and repriced postage </t>
  </si>
  <si>
    <t xml:space="preserve">Verify </t>
  </si>
  <si>
    <t>Add 'Only include transactions with an ACH Withdrawal ID' to Outbound Transactions Payment Details Data Feed</t>
  </si>
  <si>
    <t>11/18/24 - Verified ACH Withdrawal ID is already on OTPD; need to implement the extract restriction to only extract when it is populated.  And IV-MTR needs to implement that subscription option.</t>
  </si>
  <si>
    <t>Census: Add Details and Reason (Similar to TDR) to the Census Data Feed</t>
  </si>
  <si>
    <t>Need IV-MTR date</t>
  </si>
  <si>
    <t>R15.0.2.0</t>
  </si>
  <si>
    <t>Census: Add Details and Reason (Similar to TDR) to the Census Verification Report</t>
  </si>
  <si>
    <t>Rewrite online Qlik reports in java for better performance (Fraud MID report [interna])</t>
  </si>
  <si>
    <t>Any remaining online Qlik reports that need to be rewritten in java due to perf issues</t>
  </si>
  <si>
    <t>Consolidate multiple EFNs into PEW files</t>
  </si>
  <si>
    <t>PEW, Data</t>
  </si>
  <si>
    <t>Issues with our current design of 1 PEW per 1 EFN - too many PEW files</t>
  </si>
  <si>
    <t>Fraud - GUI to view/search/manage MID and barcode lists</t>
  </si>
  <si>
    <t>Fraud - Update GUI to add an option to Disable/Remove IMpbs from either Whitelist or Blacklist</t>
  </si>
  <si>
    <t>Fraud - Update GUI to add an option to Disable/Remove MIDs from either Whitelist or Blacklist</t>
  </si>
  <si>
    <t>Monitoring Service (Note: will be built in phases). Custom metrics to measure throughput
Phase 1 - Manifest, PEW, Pricing</t>
  </si>
  <si>
    <t>Monitoring (New)</t>
  </si>
  <si>
    <t>Ingest transaction d/t data, (need more reqs); Dependent on Services supplying data</t>
  </si>
  <si>
    <t>Reports - Full online reporting for PFS</t>
  </si>
  <si>
    <t>BNS 217697 Priority Mail Next Day NSA product</t>
  </si>
  <si>
    <r>
      <t xml:space="preserve">Update to ID 128 - Ensure all packages are charged. Double charges and no charges due to eVS charging header MID and Ship charging detail MID.  
Updated Logic:  If D1 MID is enrolled in Ship and </t>
    </r>
    <r>
      <rPr>
        <u/>
        <sz val="9"/>
        <rFont val="Aptos Narrow"/>
        <family val="2"/>
        <scheme val="minor"/>
      </rPr>
      <t>EFN MID is not enrolled in EVS,</t>
    </r>
    <r>
      <rPr>
        <sz val="9"/>
        <rFont val="Aptos Narrow"/>
        <family val="2"/>
        <scheme val="minor"/>
      </rPr>
      <t xml:space="preserve">  charge D1 MID  
else if EFN MID is enrolled in Ship,  charge EFN MID
else don't charge package
</t>
    </r>
  </si>
  <si>
    <t>Fix originally in R14.0.1.0, but need to update logic to check EVS enrollment.
need a follow-on change to handle not double charging in the scenario where the D1 MID is enrolled in Ship and the EFN MID is enrolled in eVS(Combined with ID #153, 59) Ensure correct customer is charged for ALMS international shipments (see Pacejet example in March/April 2024: "Ship charging for eVS packages (international serial # range issue - Pacejet - CRID 24966454)")
Currently we go to ALMS, but when another customer charges beyond their assigned range. Customer is getting charged in eVS AND wrong customer gets charged in Ship. See item 132 - may be related and solution might be the same. Question: If Ship is able to check eVS to see if they charge for every D1 MID as long as H1 is in eVS will that cause problems? Eli will come up with scenarios to see what we need to consider. Possible scenarios: 
1.	H1 EFN MID is enrolled in eVS [all D1s will be charged by eVS]
  a.	D1 MID* is not enrolled in Ship – eVS charges because of the H1 MID, Ship doesn’t charge – we’re good here
  b.	D1 MID* is enrolled in Ship – eVS charges because of the H1 MID, Ship charges because of the D1 MID – double charge
2.	H1 EFN MID is not enrolled in eVS [eVS won’t charge anything]
  a.	D1 MID* is not enrolled in Ship – eVS doesn’t charge, Ship doesn’t charge – no charge, free package
  b.	D1 MID* is enrolled in Ship – eVS doesn’t charge, Ship charges – we’re good here
* “D1 MID” includes 13-character barcode ranges where USPS Ship looks to ALMS to retrieve the MID owner, and charges that MID owner
NOTE: The following was implemented on 10/27 in 14.0.1.0 and should be corrected
REQs for manifest:
If D1 MID is enrolled in Ship
  charge D1 MID
Else
 if EFN MID enrolled in Ship
   charge to the EFN MID
 Else
  don't charge for this package (written to topic: pkgplfm-manifest-{env}-ignored-ssf-package) &lt;-- Need follow up here to ensure these packages were charged in eVS, and if not write to a report(?)
NOTE: The following should be implemented
If EFN MID is enrolled in eVS
Don’t charge package     //* All packaged will be charged in eVS *//
Else
 if D1 MID is enrolled in Ship
               Charge D1 MID                  //* Ship’s normal process of charging the D1 *//
               … if we can’t charge the D1 MID for some reason, we need to try and charge the EFN MID
 else
              Charge EFN MID
               … if we can’t charge the EFN MID here, we need to write this to some sort of report
End.</t>
  </si>
  <si>
    <t>Misshipped - ability to manage the CRID suppression list</t>
  </si>
  <si>
    <t>R15.0.2.2</t>
  </si>
  <si>
    <t>Ability to refund to a credit card (for Ad-hoc refunds)</t>
  </si>
  <si>
    <t xml:space="preserve"> TechDebt, PCPostage</t>
  </si>
  <si>
    <t>Payment, Mailer Review</t>
  </si>
  <si>
    <t>Mailer review would need ability to tie back to a previous transaction. 
How would the user exp be for this in mailer review? similar to unused labels
B-834747</t>
  </si>
  <si>
    <t>R16.0.0.0</t>
  </si>
  <si>
    <t>Acct Mgmt Internal UI - display MID User CRID and MID User CRID Name in MID listings</t>
  </si>
  <si>
    <t>Request from Matt for ease of use</t>
  </si>
  <si>
    <t>Rate File Service - Create APF2 files for former PC postage vendors from USPS Ship</t>
  </si>
  <si>
    <t>Pricing, Data</t>
  </si>
  <si>
    <t>Pilot Reporting Phase 3 (PRS)</t>
  </si>
  <si>
    <t>UPS-MI</t>
  </si>
  <si>
    <t>PRS mailers need to see Pilot data</t>
  </si>
  <si>
    <t>Reporting - Rename Variance Report to Manifest Variance Report</t>
  </si>
  <si>
    <t>B-934348</t>
  </si>
  <si>
    <t>Fraud - Support fraud check in SV Sampling</t>
  </si>
  <si>
    <t>Updated logic to ignore Quality Shipper Score MIDs, receive additional data elements to feed into the sampling algorithm</t>
  </si>
  <si>
    <t>Misshipped: Use scan event date/time to determine 1st scan, add misshipped exclusion events, exclude from misshiped if 1st scan is at manifested destination ZIP, drop site, or downstream drop site.</t>
  </si>
  <si>
    <t>Scans/Verify</t>
  </si>
  <si>
    <t>USPS Ship - Acct Mgmt - Internal Role Revisions</t>
  </si>
  <si>
    <t>HQ, IT</t>
  </si>
  <si>
    <t>Adding Help Desk and Service Lead roles; adding View-only functionality</t>
  </si>
  <si>
    <t>Manifest Autocorrect: update if Rate Indictor = OS then processing Category should be 5</t>
  </si>
  <si>
    <t xml:space="preserve">Manifest </t>
  </si>
  <si>
    <t>email: Amazon eVS vs Ship</t>
  </si>
  <si>
    <t>Data feeds to UAP (Unmanifested/duplicate packages, Impb Assessments, SQA Assessments)</t>
  </si>
  <si>
    <t>R16.0.1.0</t>
  </si>
  <si>
    <t>Integration with Pano for Contracts (Sales Mod)</t>
  </si>
  <si>
    <t>Contracts don't always load correctly
Mgmt decision: What is the timeline for Sales Mod 4 No Pat Method/Pano becoming one source of contract data? See Long Term Solution
Immediate Solution (Feb Date)
- Restructure tables/views to eliminate or at least reduce duplication of NSA rates data. As discussed in the past this relationship creates unnecessarily large rate tables and slows down the contract load process. Instead these tables should just be tied together based on product_id
- Improve monitoring of sqlloader job that more accurately depicts success or failure of data (email?)
NOTE: Tentative February release - Large contract loads happen with Jan and July PC. Would not recommend having a major PC be the first prod run of the changes.
Long Term Solution - Can only complete if Sales Mod 4 - No Pay Method, Program Registration phased out
- Pano becomes one source for contract data
- Restructure tables/views to eliminate or at least reduce duplication of NSA rates data 
- Use Akka components for processing/breaking down the XML files, validating the data, staging data, and ultimately modifying the final tables.
- Implement in a way that allows maximum confidence that the new process results in same final rates output for use in price lookups (i.e. phased approach   with parallel processing to allow time to compare actual PROD data
- Move new process to Mongo database and then migrate existing contract data from Pricing (Oracle DB). Suggest setup a new service. Could copy the file each day from the AFT directory to a new location for processing, thus eliminating the possibility of this new load impacting anything with the existing load.
(ROMS have been submitted (via Sales MOD DAR)
Can't do this piece without parts of what is in the Sales MOD DAR ask (No pay method - switching from getting data from ProgReg to Panorama (not looking up contract data)).  This will apply to how Ship gets the contract data and how they will handle contracts that don't load. )</t>
  </si>
  <si>
    <t>Acct Mgmt - Default Recon analyst for COP enrollments</t>
  </si>
  <si>
    <t>Asked by Matt Jordan 12/3/2024</t>
  </si>
  <si>
    <t>PEW Online report (may be a duplicate of ID #13), need to check with Matt J to see if both are needed</t>
  </si>
  <si>
    <t xml:space="preserve">Reporting </t>
  </si>
  <si>
    <t>PEW Online report  -Validation in Progress</t>
  </si>
  <si>
    <t>TPB - Ability visibility into current authorizations</t>
  </si>
  <si>
    <t>UI for TIS to see authorizations</t>
  </si>
  <si>
    <t>PostHost (Post Office Boxes and Lockers)</t>
  </si>
  <si>
    <t>Pricing, Enterprise Pricing, Manifest, Verify</t>
  </si>
  <si>
    <t>CIO Directive. Requires NSA in prod to fully confirm. Prog Reg expected to implement changes on Sunday 4/27</t>
  </si>
  <si>
    <t>publish default EPA of 9999999999 for Outbound Pilot profiles that don't have default EPAs</t>
  </si>
  <si>
    <t>Data Partition Pruning</t>
  </si>
  <si>
    <t>Manifest Search online report - all search by Full Impb</t>
  </si>
  <si>
    <t>Census: Send Census reason as an additional data element in the data feeds that we send to CDM/SAL on a daily basis</t>
  </si>
  <si>
    <t>IMpb parsing failure in file submission unused labels</t>
  </si>
  <si>
    <t>Fix issue in Interface with RPW- D8 details that need to be send to RPW are missing</t>
  </si>
  <si>
    <t>OMAS and PRS accounts/profiles need to be listed on the landing page</t>
  </si>
  <si>
    <t>Fix an issue with delegation on IMpb error data feeds, this happens when a subscription has more than one CRID/data has been delegated</t>
  </si>
  <si>
    <t>Fraud - Send Payment Check Data to UAP</t>
  </si>
  <si>
    <t>Pending verification by UAP. CR to mirror topic to Kafka Farm (PROD CR: CHG1075222) was implemented 5/1.</t>
  </si>
  <si>
    <t>TPB "Third Party Billing" (Outbound) Reports: New Report &amp; Summary View</t>
  </si>
  <si>
    <t>R16.0.2.0</t>
  </si>
  <si>
    <t>IMpb monthly assessments on landing page online report tabs</t>
  </si>
  <si>
    <t>Dispute/Refund Status Webhook (Sales Mod Workstream 4)</t>
  </si>
  <si>
    <t>Joint Review Status Webhook (Sales Mod Workstream 4)</t>
  </si>
  <si>
    <t>Unused Label Refund Status Webhook (Sales Mod Workstream 4)</t>
  </si>
  <si>
    <t>Add year to month in MR 'Month' dropdown</t>
  </si>
  <si>
    <t>Should read,for example, 'January 2024' instead of just 'January'. Also should be sorted (check with Matt J on ascending/descending)</t>
  </si>
  <si>
    <t>Acct Mgmt Internal UI - add link for Site Admin pages (Outbound, Returns, PRS) to Edit page</t>
  </si>
  <si>
    <t xml:space="preserve">Create Adjustments Status API for all adjustments and refunds  (Census/Duplicates/Unmanifested data through an API call that the Shippers can invoke from API gateway). - SAME AS ID 333 - </t>
  </si>
  <si>
    <t>Easypost</t>
  </si>
  <si>
    <t>Data, EMAS</t>
  </si>
  <si>
    <t xml:space="preserve">Create a new API that will be exposed through the Dev Portal (EMAS) , this API will include both adjustments and refunds </t>
  </si>
  <si>
    <t>Change returns to use average weights instead of average prices</t>
  </si>
  <si>
    <t>Verify, Pricing</t>
  </si>
  <si>
    <t>USPS Ship will update the Returns Averages to no longer use a calculated Average Price but instead align to how outbound averages work today and use a calculated Average Weight. The price on the return product would be based on the current rates -- NSA or Commercial -- for that average weight/mail class/date/actual origin &amp; delivery ZIPs.</t>
  </si>
  <si>
    <t>Update Mailer Review Header Logo and colors with USPS branding</t>
  </si>
  <si>
    <t>Matt Jordan Request to match reporting</t>
  </si>
  <si>
    <t>Column Lengths on tables cut off data on Mailer Review</t>
  </si>
  <si>
    <t>Manifest - ingest records with line breaks</t>
  </si>
  <si>
    <t>When a manifest has a line break in the record, rather than ignoring the record as invalid format, if the necessary fields to price the package are available, ingest the record.</t>
  </si>
  <si>
    <t>TPB - change TPB permit method values from 08/09 to 23/24</t>
  </si>
  <si>
    <t>Request from Pete Starvaski</t>
  </si>
  <si>
    <t>RSS Sampling - Flag RSS Samples as MPE 'O'</t>
  </si>
  <si>
    <t>Payment - change PRS transactions from adjustments to purchases; publish to purchaseResponse</t>
  </si>
  <si>
    <t>PRS</t>
  </si>
  <si>
    <t>Will align with Reports #334; makes more sense since it's initial payment for the piece; will publish to purchaseResponse; will look more like existing PFS transaction instead of Census transaction</t>
  </si>
  <si>
    <t xml:space="preserve">Misshipped - Exclude PMOD items from Misshipped processing </t>
  </si>
  <si>
    <t>Verify Manifest</t>
  </si>
  <si>
    <t>Data - RPW Stage Process Improvement</t>
  </si>
  <si>
    <t>Report changes - Remove "reports" from drop down, remove "check box" column</t>
  </si>
  <si>
    <t>Consume data from Payment Services with an updated 'transaction type' of 'Purchase' on PRS transactions (currently the type =Adjustment)</t>
  </si>
  <si>
    <t>Align with #325</t>
  </si>
  <si>
    <t>PRS data populated on the Landing Page and the PRS check box on the landing page will be search enabled /meaning that checking the PRS check box will have the data filtered to be only PRS data</t>
  </si>
  <si>
    <t>Query Outbound Transaction Payment details table &amp; Transaction details from oracle and upload csv file to s3</t>
  </si>
  <si>
    <t>Write a copy scheduler to copy Outbound Transaction Payment details &amp; transaction details data from s3 etl folder to redshift database table</t>
  </si>
  <si>
    <t xml:space="preserve">Landing Page Records to download with data in CSV and Excel </t>
  </si>
  <si>
    <t>PRS: Process Additional PRS STCs - Acct Mgmt: Add additional STC 677 -  PRS Insurance &lt;= $500 Hazardous Materials</t>
  </si>
  <si>
    <t>B-961006, B-961148</t>
  </si>
  <si>
    <t>PostHost Confirmed Local Delivery</t>
  </si>
  <si>
    <t>Verify, Manifest, Pricing</t>
  </si>
  <si>
    <t>MongoDB upgrade from 6 to 8</t>
  </si>
  <si>
    <t>Verify, Scans, PEW, Fraud, Sampling, Monitoring</t>
  </si>
  <si>
    <t>Provide MID Master MID, MID User CRID values when there is a payment created on Duplicates Unmanifested IMpb SQA transactions</t>
  </si>
  <si>
    <t>Create a new feature that will allow data to be added  uploaded as a CSV that will be provided by PO! EMAS</t>
  </si>
  <si>
    <t xml:space="preserve">Create a new data feed for letters and flats transactions that originate in EMAS , this data feed would have details at the IMb level </t>
  </si>
  <si>
    <t>Single PIC Search - add to all reports</t>
  </si>
  <si>
    <t>Single PIC Search all reports (already in Census)</t>
  </si>
  <si>
    <t>R17.0.0.0</t>
  </si>
  <si>
    <t>Update logic to lookback 120 days when confirming original package matches a manifest</t>
  </si>
  <si>
    <t>B-955302</t>
  </si>
  <si>
    <t>Duplicates Identification: Flag a package as a duplicate when there are multiple 07, 10, 01 scan events for the Impb (i.e., add '10' to the current logic)</t>
  </si>
  <si>
    <t>B-961966 (Requested from DHL, but Angela L wants this also). ROM sent 5/20</t>
  </si>
  <si>
    <t>Update PEW Report to Filter Error and Warning</t>
  </si>
  <si>
    <t>PEW Report Modification - When the report gets loaded default the report to pull only packages that received an error. Provide the users ability to search /change the filter to have both warnings and errors. The downloads should match the selection on the screen</t>
  </si>
  <si>
    <t>Transaction Type filter (Purchase, Refund, Adjustment) on TDR</t>
  </si>
  <si>
    <t>B-970260- Add Transaction Type filter to the Transaction Details Report - Adjustment, Purchase, Refund. Default to Purchase</t>
  </si>
  <si>
    <t>Change text description for "Destination Entry" census error to be "Zone"</t>
  </si>
  <si>
    <t>B-969236</t>
  </si>
  <si>
    <t>Misshipped: Continue to assess Zone in pricing but exclude it from the Description</t>
  </si>
  <si>
    <t>(note: Only exclude "Zone" from the description when the zone reprice is due to a MisShipped error)</t>
  </si>
  <si>
    <t xml:space="preserve">Any field representing an amount, ensure all values are properly formatted throughout the reports and prefixed with a dollar sign ($) where applicable. </t>
  </si>
  <si>
    <t xml:space="preserve">B-965503-  On the Transection Details Report, the table column "ACH Withdrawal Amount" column is an amount, but there is no Prefix with a ($) and not properly formatted. </t>
  </si>
  <si>
    <t>Filter Joint Review, Refunds, Unused Labels and the “Requests tab”  data by selected Active CRID and remove username filter</t>
  </si>
  <si>
    <t>R18.0.0.0</t>
  </si>
  <si>
    <t>Platform Dispute/Refund Request API &amp; add tab (Sales Mod Workstream 4)</t>
  </si>
  <si>
    <t>Mailer Review, Payment, Reporting, ServiceNow</t>
  </si>
  <si>
    <t xml:space="preserve">* We need to issue a dispute ID with this, and ensure the dispute goes through all the same processes as normal (SNow, etc.)
* Show on Mailer Review homepage </t>
  </si>
  <si>
    <t>Remove extraneous unneeded options from AcctMgmt screen 'Days to Validate Unused Label Prior to Refund' and 'Unused Label Refund Threshold'</t>
  </si>
  <si>
    <t>Automated APV Disputes process (Sales Mod) Allows manual process that APV helpdesk does now to be automated</t>
  </si>
  <si>
    <t>Etsy
Platforms</t>
  </si>
  <si>
    <t>Data, Mailer Review, Payment, Pricing, Reporting</t>
  </si>
  <si>
    <t xml:space="preserve">Publish Census charges &lt;$1 and not due to non-standard fees to a new topic </t>
  </si>
  <si>
    <t>Verify, Reporting</t>
  </si>
  <si>
    <t>B-952811, B-952813</t>
  </si>
  <si>
    <t>Shipment Actual Update webhook for Shopify (Sales Mod)</t>
  </si>
  <si>
    <t>Shopify</t>
  </si>
  <si>
    <t>B-957189</t>
  </si>
  <si>
    <t>CIAM integration for Account Management (testing only)</t>
  </si>
  <si>
    <t>Mailer Review, Account Management, Reporting</t>
  </si>
  <si>
    <t>Census Verification Report update</t>
  </si>
  <si>
    <t>Census Verification Report will be updated to have a radio button that will show packages that had an adjustment previously and were disputed and were refunded (SOX requirement)</t>
  </si>
  <si>
    <r>
      <t>Provide assessment date in unmanifested and duplicate data feeds</t>
    </r>
    <r>
      <rPr>
        <sz val="9"/>
        <color rgb="FF000000"/>
        <rFont val="Aptos Narrow"/>
        <family val="2"/>
        <scheme val="minor"/>
      </rPr>
      <t xml:space="preserve"> </t>
    </r>
  </si>
  <si>
    <t>Scan, Verify, Manifest, Data</t>
  </si>
  <si>
    <t xml:space="preserve">Census Verification Report Updates - New tab for Disputed Adjustments </t>
  </si>
  <si>
    <t>sVM, Reporting</t>
  </si>
  <si>
    <t>Verify - Change PRS Unmanifested to be assessed on a separate timeline than Outbound Unmanifested</t>
  </si>
  <si>
    <t>(verify this is included in PRS funded work from Josh)</t>
  </si>
  <si>
    <t>R19.0.0.0</t>
  </si>
  <si>
    <t>Update D1/D8 Logic for EMAS SSFs</t>
  </si>
  <si>
    <t>Create a new data feed (Package Transactions Details Gen II) that will be provided through IV-MTR</t>
  </si>
  <si>
    <t>PB, eBay, Amazon</t>
  </si>
  <si>
    <t>Data Services, IV-MTR, EPS</t>
  </si>
  <si>
    <t>Data services will create a new 'Package Transactions Details Gen II' data feed that will be provided through IV-MTR</t>
  </si>
  <si>
    <t>Add Returns Mail Classes to Rate List API (Shipping Options)</t>
  </si>
  <si>
    <t>Pitney Bowes</t>
  </si>
  <si>
    <t>PB tracking item (PB29) requested for support from USPS APIs to include returns. Requires funding and prioritization</t>
  </si>
  <si>
    <t>R20.0.0.0</t>
  </si>
  <si>
    <t>D8 Payer for NSA - If Rate Holder Role doesn't exist then default to use Payer Role</t>
  </si>
  <si>
    <t>Mailer Review, Pricing, Enterprise Pricing</t>
  </si>
  <si>
    <t>If Rate Holder Role doesn't exist then default to use Payer Role</t>
  </si>
  <si>
    <t>Remove "Avg Price Per" Column from Landing Page -</t>
  </si>
  <si>
    <t>Business</t>
  </si>
  <si>
    <t>Remove "Avg Price Per" Column from Landing Page B-994661</t>
  </si>
  <si>
    <t>R21.0.0.0</t>
  </si>
  <si>
    <t>Census: Add ACH Withdrawal ID &amp; Amount on online Census Verification</t>
  </si>
  <si>
    <t>Multiple</t>
  </si>
  <si>
    <t>GET ROM</t>
  </si>
  <si>
    <t>Send webhook for payments on unused labels  and Letters and Flats unused labels</t>
  </si>
  <si>
    <t>Manifest, Scans, Mailer Review, Payment, Data, Reporting, Account Management</t>
  </si>
  <si>
    <t>Pending confirmation to proceed with approach</t>
  </si>
  <si>
    <t xml:space="preserve">Fraud - Notify PTR of Cancelled/Refunded Labels </t>
  </si>
  <si>
    <t>PTR is funding - pending ebuy/award</t>
  </si>
  <si>
    <t>End Merchant Visibility - Provide data to CDM/SAL/UAP</t>
  </si>
  <si>
    <t>Sales Mod</t>
  </si>
  <si>
    <t>End Merchant Visibility - Provide data to CDM/SAL/UAP for the unattended CRIDs that have been created by calling customer registration for D3 data that does not already have an identified CRID where the postage type =1</t>
  </si>
  <si>
    <t>Add new API for PFS to check enrollment for list of CRIDs instead of single CRID</t>
  </si>
  <si>
    <t>Request from PFS (Kevin Maldanado).  API would ingest a list of CRIDs and respond with a list of CRIDs (and associated Master MIDs, not child MIDs) that are enrolled in Ship</t>
  </si>
  <si>
    <t>Exclude unmanifested if they have a UAA event (and potentially other exclusion events) within 120 days</t>
  </si>
  <si>
    <t>PFS - support OMAS - include OMAS permit info, agency code, agency cost code</t>
  </si>
  <si>
    <t>Verify, Payment, Reporting</t>
  </si>
  <si>
    <t>Existing OMAS PFS mailers not charged in Ship</t>
  </si>
  <si>
    <t xml:space="preserve">Pano/ERR Updates to account for Kafka structure changes in Pano </t>
  </si>
  <si>
    <t>Update Rate Indicator Reference Data and Related Autocorrections</t>
  </si>
  <si>
    <t>Manifest, Pricing</t>
  </si>
  <si>
    <t>See email "DHL Issue Responses"</t>
  </si>
  <si>
    <t>Enhanced Carbon Accounting Report with CRID-Based Reporting - Internal only</t>
  </si>
  <si>
    <t>Enhanced Carbon Accounting Report with CRID-Based Reporting.docx
This feature enhances the existing Carbon Accounting Report by introducing CRID-based reports for Mail Owners and Mail Service Providers. As a result, business customers will gain comprehensive visibility into their carbon emissions for all mail volumes, including those managed by third parties. Additionally, a new Java-based dashboard will be developed, providing an interactive graphical interface that allows USPS customers to run and visualize reports based on their role, thereby aiding in better tracking and analysis of carbon emissions. This enhancement addresses existing reporting gaps and ensures that contracted and sub-contracted mail volumes are fully accounted for in carbon reporting.</t>
  </si>
  <si>
    <t>Carbon Accounting Interactive Dashboard Report</t>
  </si>
  <si>
    <t>CARBON</t>
  </si>
  <si>
    <t>B-934103</t>
  </si>
  <si>
    <t>Dispute Details Report - Add two columns</t>
  </si>
  <si>
    <t>On Dispute Details Report page - Add two columns (renaming one)
Adding Approved Amount next to Dispute Amount If status = Approved, then Approved Amount will display.
Changing Mailer ID to Dispute ID and moving next to Dispute Type</t>
  </si>
  <si>
    <t>Weight on the reporting UI is rounding up weights when they should not, the weight needs to be displayed without any rounding.</t>
  </si>
  <si>
    <t>Fraud - Manifest Health Check</t>
  </si>
  <si>
    <t>Fraud, Manifest</t>
  </si>
  <si>
    <t>R21.0.3.0</t>
  </si>
  <si>
    <t>Fraud - Support retail 95 barcode for Package Status</t>
  </si>
  <si>
    <t>R21.0.3.1</t>
  </si>
  <si>
    <t>IMpb Finalization Phase 1 - AQ Exclusions</t>
  </si>
  <si>
    <t>Data, Manifest, Reporting, Verify</t>
  </si>
  <si>
    <t>This feature involves multiple enhancements to the Verify Service to improve IMpb compliance by accurately triggering AQ errors. Key updates include excluding certain Special Tracking Codes (STCs), destination states, military mail types, and Open and Distribute packages from AQ errors. The Verify Service will handle a configurable list of STCs, exclude packages destined for Puerto Rico, military inbound and outbound packages, and those with Open and Distribute service codes from evaluations. Additionally, the Verify Service will store an STC Reference data table for use in IMpb compliance verifications.</t>
  </si>
  <si>
    <t>R22.0.0.0</t>
  </si>
  <si>
    <t>OMAS to EPS Migration - Introduce 2 new data feeds and add more fields to existing data feed</t>
  </si>
  <si>
    <t>OMAS to EPS Migration - Introduce 2 new data feeds and add more fields to existing data feed (EPS Data Feeds)</t>
  </si>
  <si>
    <t>Add refund Dispute ID in the Transactions History report (Dispute ID for both disputes and unused labels)</t>
  </si>
  <si>
    <t>EPS, Data, IV-MTR, Payment</t>
  </si>
  <si>
    <t>BNS 200770 - Label Provider Incentive SHORT TERM platforms - flags (Phase 1)</t>
  </si>
  <si>
    <t>This feature enables the Pricing Service to consume and store attributes from the new Pano topic 'pano-ep-ship-err-nsa-label-inc.' The Pricing Service will process Kafka messages from this topic and create new tables to store the relevant attributes, ensuring efficient data management and usage.</t>
  </si>
  <si>
    <t>Update Intercept PIC API for RSS service to be able to access</t>
  </si>
  <si>
    <t>Need for RSS service to access our Intercept Pic</t>
  </si>
  <si>
    <t>Consume Unused Label Refund Rejections for Letters and Flats</t>
  </si>
  <si>
    <r>
      <t xml:space="preserve">This feature enables the Data and Reporting services to consume unused label refund rejections for Letters and Flats, as published by the Mailer Review service. It ensures that both services record and process these refund rejections effectively, facilitating accurate data tracking and reporting on unused label refunds. The relevant topics are </t>
    </r>
    <r>
      <rPr>
        <sz val="9"/>
        <color rgb="FF218748"/>
        <rFont val="Aptos Narrow"/>
        <family val="2"/>
        <scheme val="minor"/>
      </rPr>
      <t>pkgplfm-mailerreview-{env}-lettersFlatsUnusedLabelRefundRequest</t>
    </r>
    <r>
      <rPr>
        <sz val="9"/>
        <rFont val="Aptos Narrow"/>
        <family val="2"/>
        <scheme val="minor"/>
      </rPr>
      <t xml:space="preserve"> and </t>
    </r>
    <r>
      <rPr>
        <sz val="9"/>
        <color rgb="FF218748"/>
        <rFont val="Aptos Narrow"/>
        <family val="2"/>
        <scheme val="minor"/>
      </rPr>
      <t>pkgplfm-mailerreview-{env}-rejectedLfUnusedLabelRequest</t>
    </r>
    <r>
      <rPr>
        <sz val="9"/>
        <rFont val="Aptos Narrow"/>
        <family val="2"/>
        <scheme val="minor"/>
      </rPr>
      <t>.</t>
    </r>
  </si>
  <si>
    <t>Census Report Omitting Reason and Detail data with Single PIC search</t>
  </si>
  <si>
    <t>When performing a single search by PIC on the Census Report, the downloads need to include Reason and Detail data</t>
  </si>
  <si>
    <t xml:space="preserve">Add "Package Quality Noncompliance Monthly Assessment" Section to All tabs </t>
  </si>
  <si>
    <t>DS - Unused label incentive adjustments are not provisioned</t>
  </si>
  <si>
    <t>NEED DESCRIPTION
DS - Unused label incentive adjustments are not provisioned</t>
  </si>
  <si>
    <t>Enhanced Acct Mgmt API for COP enrollment validation</t>
  </si>
  <si>
    <t>COP</t>
  </si>
  <si>
    <t>The feature involves enhancing the Account Management API to enable COP to submit a list of CRIDs and receive a response indicating the enrollment status for each CRID.
High Level Business User Stories
As a COP team member, I want to submit a list of CRIDs via the Account Management API to check their enrollment status.
As a COP administrator, I want to receive a clear response indicating which CRIDs are enrolled and which are not for efficient decision-making.
Acceptance Criteria
The enhanced API should accept a list of CRIDs in the request payload.
The API response should clearly indicate the enrollment status (enrolled/not enrolled) for each CRID in the submitted list.
The response should be delivered in a timely manner to support COP's operational needs.
The feature should be integrated seamlessly with the existing Account Management API.
Assumptions
COP will provide the list of CRIDs in a predefined format for validation.
The Account Management system infrastructure can support the additional workload generated by COP's requests.</t>
  </si>
  <si>
    <t>Monthly Assessments Support for Credit Card Payments</t>
  </si>
  <si>
    <t>EPS</t>
  </si>
  <si>
    <t>This feature enhancement involves enabling the EPS to process monthly transactions with a specific system ID (73 for credit card-eligible) instead of the current default system ID (72). This change will facilitate EPS to handle unmanifested, duplicate, and other monthly assessments when the Ship default EPA is linked to a credit card in EPS.
High Level Business User Stories
As an EPS user, I want the Ship system to send monthly transactions with system ID 73 for credit card-eligible transactions for easier processing.
As a financial administrator, I want to ensure that monthly assessments tied to a credit card in EPS can be processed accurately to avoid billing discrepancies.
Acceptance Criteria
The Ship system should send all monthly assessment transactions using system ID 73 to mark them as credit card-eligible transactions instead of the existing default system ID 72.
EPS should be able to process unmanifested, duplicate, and other monthly assessments accurately when the Ship default EPA is associated with a credit card in EPS.
The integration between Ship and EPS for credit card payments should handle error scenarios gracefully to maintain data integrity.
The feature should be implemented without impacting existing payment functionalities.
Assumptions
EPS has the necessary infrastructure and capabilities to process monthly transactions with the new system ID.
The Ship system can seamlessly communicate the updated system ID for credit card-eligible transactions to EPS.</t>
  </si>
  <si>
    <t>Last Manifest Transmission Date' on the landing page of the reports needs to be updated only when there is a manifest transaction</t>
  </si>
  <si>
    <t>Going with what they are changing now, but will need further discussions and requirements with Business to change again.</t>
  </si>
  <si>
    <t>Data - APV Disputes - Add retry logic if package not processed by Payment</t>
  </si>
  <si>
    <t>NEED DESCRIPTION</t>
  </si>
  <si>
    <t>USPS Ship - Reporting and Data Services -- ROSA Migration</t>
  </si>
  <si>
    <t>USPS Ship - Reporting Services - CIAM integration</t>
  </si>
  <si>
    <t>carbon dashboard Internal  -changes to apply default crid and date range</t>
  </si>
  <si>
    <t>CIAM Integration for Mailer Review</t>
  </si>
  <si>
    <t>International Serial Numbers from EMAS for PCPostage</t>
  </si>
  <si>
    <t>This feature addresses a gap where EMAS sends international label mappings to USPS Ship, resulting in packages being incorrectly flagged as unmanifested and charged in both Ship and PCPostage or CNS. The enhancement involves ingesting a new PCPostage flag from EMAS when they send serial numbers to Acct Mgmt, then Acct Mgmt passing that on to downstream services to handle according to whatever business rules they have.</t>
  </si>
  <si>
    <t>Unused Label Delay</t>
  </si>
  <si>
    <t>This enhancement adds a configurable 14-day delay to the processing of unused label payment requests. The delay aims to deter fraud by holding payment requests until the unused label submission date reaches the specified age. This update impacts the Payment microservice.</t>
  </si>
  <si>
    <t>Formatting IMpb Data Feed for EDI</t>
  </si>
  <si>
    <t>Adding double quotes to IMpb data feed for EDI. Add double quotes around the address column in the IMPB Error IV-MTR extract to prevent column misalignment in CSV output. B-1003373</t>
  </si>
  <si>
    <r>
      <t xml:space="preserve">Add multiple fields on online </t>
    </r>
    <r>
      <rPr>
        <b/>
        <sz val="9"/>
        <color rgb="FF000000"/>
        <rFont val="Aptos Narrow"/>
        <family val="2"/>
        <scheme val="minor"/>
      </rPr>
      <t>Census Verification Report</t>
    </r>
    <r>
      <rPr>
        <sz val="9"/>
        <color rgb="FF000000"/>
        <rFont val="Aptos Narrow"/>
        <family val="2"/>
        <scheme val="minor"/>
      </rPr>
      <t xml:space="preserve"> "phase 1" = fields already available </t>
    </r>
  </si>
  <si>
    <t>First release:  11/6/25 (R22.0.0.0)  This feature involves updating the online Census Verification Report by adding, modifying, and removing multiple fields to improve the accuracy and detail of the data. New fields such as Manifest Entry Facility ZIP and Dimensional Weight will be added, existing fields like Manifest Destination ZIP Code will be repositioned, and unnecessary fields such as the Reason column will be removed. These enhancements ensure a more comprehensive and user-friendly Census Verification Report.</t>
  </si>
  <si>
    <t>R23.0.0.0</t>
  </si>
  <si>
    <t>International manifests from EMAS - ALMs "ranges" need to be handled real-time for some mailers</t>
  </si>
  <si>
    <t>EMAS</t>
  </si>
  <si>
    <t>EMAS customer Etsy generates new international serial number ranges and submits the manifests in real-time, potentially resulting in manifests being processed before the ranges have been refreshed in Redis</t>
  </si>
  <si>
    <t>TLC-DDP - Total Landed Cost-Delivery Duties Paid</t>
  </si>
  <si>
    <t>Update Mailer Review Error Messages to be more descriptive for the user to take action when submissions are not accepted</t>
  </si>
  <si>
    <t>Improved Mailer Review Unused Label Submission Process</t>
  </si>
  <si>
    <t>This enhancement modifies the Mailer Review Unused Label Process to prevent the rejection of an entire file submission due to a single invalid record. In the current system, any error within one record results in the full submission being rejected. The update ensures that only the invalid records are rejected, allowing valid records within the same submission to be processed successfully. This improvement will streamline the submission process, reducing inefficiencies and minimizing disruptions for mailers during the review of unused labels.</t>
  </si>
  <si>
    <r>
      <rPr>
        <b/>
        <sz val="9"/>
        <color rgb="FF000000"/>
        <rFont val="Aptos Narrow"/>
        <family val="2"/>
        <scheme val="minor"/>
      </rPr>
      <t>Manifest Summary Report</t>
    </r>
    <r>
      <rPr>
        <sz val="9"/>
        <color rgb="FF000000"/>
        <rFont val="Aptos Narrow"/>
        <family val="2"/>
        <scheme val="minor"/>
      </rPr>
      <t xml:space="preserve"> Validation</t>
    </r>
  </si>
  <si>
    <t>DTS, Manifest, Reporting</t>
  </si>
  <si>
    <t>This feature corrects the file name errors in the EFN file validation report to ensure they match the corresponding manifest files. By resolving these discrepancies, it enables effective validation of file acceptance, enhancing the functionality of the DTS/Manifest Service and Data/Reporting Service, thereby ensuring accurate and reliable reporting.</t>
  </si>
  <si>
    <t>Data Extracts that are sent to CDM/RPW/ProgReg need to be enhanced so that data can be sourced from a single table vs multiple tables currently run against</t>
  </si>
  <si>
    <t>Defect</t>
  </si>
  <si>
    <t>B-1005738</t>
  </si>
  <si>
    <t>Default EPA Change Audit Trail</t>
  </si>
  <si>
    <t>This enhancement adds the ability to track changes to the default EPA from the Edit Profile feature to the Site Admin's Audit Trail for outbound profiles. The update ensures that these changes, like Site Admin adjustments, are logged for auditing purposes. This impacts the Account Management microservice.</t>
  </si>
  <si>
    <t>Returns Workflow Renaming</t>
  </si>
  <si>
    <t>This enhancement involves renaming and adding a legend to describe the Returns workflows in the Account Management system. Specifically, "Price on Scans, No Manifest" will be renamed to "Price &amp; Charge on Scans, No Manifest (Pilot)," and "Price &amp; Charge on Scans, No Manifest" will be renamed to "Price &amp; Charge on Scans, No Manifest (Live)." A legend will be added to the Returns Enrollment page to explain the pricing and charging methods for each workflow. This impacts the Account Management microservice.
Proposed legend:
Price &amp; Charge on Scans, No Manifest: Packages are priced based on captured attributes (weight, dimensions, zone, etc.) when available. Otherwise, average pricing applies.
Returns – Manifest Attributes: Packages are priced based on captured attributes (weight, dimensions, zone, etc.) when available. Otherwise, manifested attributes are used to price.</t>
  </si>
  <si>
    <t>Price Change Jan 2026</t>
  </si>
  <si>
    <r>
      <t xml:space="preserve">BNS 203104, 216101, </t>
    </r>
    <r>
      <rPr>
        <sz val="9"/>
        <rFont val="Aptos Narrow"/>
        <family val="2"/>
        <scheme val="minor"/>
      </rPr>
      <t>231667, 209639, CR213138.4</t>
    </r>
  </si>
  <si>
    <t>Add PMND flag for Enterprise Pricing label requests</t>
  </si>
  <si>
    <t>New CIO ask as of 10/27 to provide better solution for end-to-end PMND process.</t>
  </si>
  <si>
    <t>Permit Search Enhancement in Ship Account Management</t>
  </si>
  <si>
    <t>This enhancement will enable internal users of the Ship Account Management system to search for outbound profiles by owned permit, similar to the existing functionality in the eVS system. This feature aims to improve operational efficiency by allowing users to quickly locate mailers associated with specific permits, thereby streamlining account management processes.
This request is driven by the need for enhanced account management capabilities within the Ship Acct Mgmt system, aligning with existing functionalities in eVS.</t>
  </si>
  <si>
    <t>Default Outbound EPA Inclusion in Ship Enrollment Check</t>
  </si>
  <si>
    <t>This enhancement improves the Account Management API that COP uses to verify the enrollment status of a given CRID in Ship. The feature specifically enhances the API response to include the current default EPA  for outbound profiles when such an EPA is present. This modification ensures that COP receives comprehensive information during enrollment verification, facilitating more effective profile management.
When COP calls the Account Management API to check if a CRID is enrolled in Ship, the API response will now also return the current default EPA for outbound profiles, if available.</t>
  </si>
  <si>
    <r>
      <rPr>
        <b/>
        <sz val="9"/>
        <color theme="1"/>
        <rFont val="Aptos Narrow"/>
        <family val="2"/>
        <scheme val="minor"/>
      </rPr>
      <t>Landing Page</t>
    </r>
    <r>
      <rPr>
        <sz val="9"/>
        <color theme="1"/>
        <rFont val="Aptos Narrow"/>
        <family val="2"/>
        <scheme val="minor"/>
      </rPr>
      <t xml:space="preserve"> - Alphabetical Order for Landing Page Search Results</t>
    </r>
  </si>
  <si>
    <t>This aims to correct the sorting of search results on the landing page, which currently displays all-uppercase entries before those in normal case. The goal is to ensure that search results are presented in true alphabetical order, improving user experience and accessibility. This change will help users locate information more efficiently and intuitively.
Implementing this feature will enhance the usability of the landing page by providing a more logical and user-friendly display of search results.</t>
  </si>
  <si>
    <t>Enhanced Mailer Review Error Messaging</t>
  </si>
  <si>
    <t>The "Enhanced Mailer Review Error Messaging" feature is part of the R23 release and aims to improve user experience by making error messages more descriptive and actionable when submissions are not accepted. Specifically, this update will introduce seven new rejection reason codes to provide clear, detailed explanations for submission rejections. This enhancement, tracked under RAID ID 410, will enable users to understand the reasons behind submission errors and take immediate corrective actions. By offering more informative error messages, this feature will streamline the submission process, reduce user frustration, and improve overall efficiency in mailer review operations.</t>
  </si>
  <si>
    <r>
      <rPr>
        <b/>
        <sz val="9"/>
        <color rgb="FF000000"/>
        <rFont val="Aptos Narrow"/>
        <family val="2"/>
        <scheme val="minor"/>
      </rPr>
      <t>Unused Label Report</t>
    </r>
    <r>
      <rPr>
        <sz val="9"/>
        <color rgb="FF000000"/>
        <rFont val="Aptos Narrow"/>
        <family val="2"/>
        <scheme val="minor"/>
      </rPr>
      <t xml:space="preserve"> - Clean download Remove Preceding "E" from EPS Transaction ID in Unused Labels Report Download (ID 542)</t>
    </r>
  </si>
  <si>
    <t>Ensures that when the EPS (Electronic Payment System) Transaction ID is populated and a user downloads the Unused Label Report, the report will exclude the 'E' prefix from the Transaction ID. This enhancement aims to deliver a cleaner, more streamlined report by removing redundant or unnecessary characters that may cause confusion or clutter. By providing a simplified and precise Unused Label Report, this feature improves readability and data clarity, making it easier for users to process and utilize the information effectively. B-1015137</t>
  </si>
  <si>
    <r>
      <rPr>
        <b/>
        <sz val="9"/>
        <color theme="1"/>
        <rFont val="Aptos Narrow"/>
        <family val="2"/>
        <scheme val="minor"/>
      </rPr>
      <t xml:space="preserve">Landing page / Monthly Account Summary, Monthly Sampling Summary, and Monthly Adjustment Summary tabs - </t>
    </r>
    <r>
      <rPr>
        <sz val="9"/>
        <color theme="1"/>
        <rFont val="Aptos Narrow"/>
        <family val="2"/>
        <scheme val="minor"/>
      </rPr>
      <t>Add "Program Type" to Monthly Summaries</t>
    </r>
  </si>
  <si>
    <t>This feature is to add a "Program Type" column to the Monthly Sampling Summary, Monthly Account, and Monthly Adjustment Summary tabs on the company landing page. The enhancement is requested by a postal service quality assurance analyst to improve the categorization and assessment of different programs related to package quality. The "Program Type" will specifically be displayed only for the PQN / IMpb assessment, as it is the only one relevant to Returns. This approach prevents the unnecessary display of "Outbound" for other rows on the pages.</t>
  </si>
  <si>
    <t>Update Manifest Nonstandard Fee Label on the Manifest Variance Report.</t>
  </si>
  <si>
    <t>This feature is to update the label of the column currently named "Manifest Nonstandard Fee Characteristics" to "Manifest Nonstandard Characteristics Fee." This change will be implemented in the internal system, external interfaces, and report downloads, ensuring consistency across all platforms.</t>
  </si>
  <si>
    <t>Misshipped: LPC Facility File (Operations Plan enhancement)</t>
  </si>
  <si>
    <t>This feature enhances the Verify service to connect to the UAP Databricks environment and select and store the LPC RPDC file. This functionality allows the service to determine if a package has been misshipped by automatically retrieving and storing the LPC data, ensuring accurate and efficient misshipped package verification within Ship.
B-966300 was deployed on 10/2 but additional work is needed to make this functional - B-966296 deploying 10/30</t>
  </si>
  <si>
    <t>R23.1.0.0</t>
  </si>
  <si>
    <t>Add maximum dimensions by MPE referential data to override trust score when trusted dims exceed max dims (Reduce disputes)</t>
  </si>
  <si>
    <t>DHL; Reduce Disputes</t>
  </si>
  <si>
    <t>Functionality was deployed as turned off for 1/04. Discussion needed with Matt J and Engineering to determine proper upper limits.
See Email: RE: [External] Fw: Maximum package dimensions by Machine Type</t>
  </si>
  <si>
    <t>Fraud - Update Health Check logic to integrate with ESM</t>
  </si>
  <si>
    <t>CISO</t>
  </si>
  <si>
    <t>The current fraud health check auto-disables the document check (aka payment check) when a file beyond an age threshold is pending ingestion by Manifest service. This approach is changing to have ESM notify Ship when to disable the payment check when there is an issue with Ship or any upstream system that is impacting manifests.</t>
  </si>
  <si>
    <t>Update Intercept PIC API to check intercept list for invalid barcodes</t>
  </si>
  <si>
    <t>Draft requirements pending review by CISO/stakeholders</t>
  </si>
  <si>
    <t>Ship-Panorama BNS0253315 - Publish Acct Mgmt Analyst Assignments to Kafka</t>
  </si>
  <si>
    <t>Panorama</t>
  </si>
  <si>
    <t>This feature is to enable Ship Account Management to publish changes to analyst assignments to Kafka for Panorama. This enhancement will allow Panorama to retrieve these changes via Mirror Maker. The target release date for this feature is January 29.</t>
  </si>
  <si>
    <t>Lolita Starling / Anand Patel</t>
  </si>
  <si>
    <r>
      <rPr>
        <b/>
        <sz val="9"/>
        <color theme="1"/>
        <rFont val="Aptos Narrow"/>
        <family val="2"/>
        <scheme val="minor"/>
      </rPr>
      <t>Census Attributes Data Feed</t>
    </r>
    <r>
      <rPr>
        <sz val="9"/>
        <color theme="1"/>
        <rFont val="Aptos Narrow"/>
        <family val="2"/>
        <scheme val="minor"/>
      </rPr>
      <t>: Add multiple fields to data feed</t>
    </r>
  </si>
  <si>
    <t>Data, Pricing, IVMTR</t>
  </si>
  <si>
    <t>R24.0.0.0</t>
  </si>
  <si>
    <t>Assessment Transaction Type in EPS</t>
  </si>
  <si>
    <t>Data, Payment, Reporting</t>
  </si>
  <si>
    <t>ALM CR 2759 tracks this request.  Request to change EPS Transaction Type for Unmanifested/Duplicate Monthly Assessment: Currently “Purchase”; request to change to “Adjustment” (to align with eVS terminology}</t>
  </si>
  <si>
    <r>
      <rPr>
        <b/>
        <sz val="9"/>
        <color rgb="FF000000"/>
        <rFont val="Aptos Narrow"/>
        <family val="2"/>
        <scheme val="minor"/>
      </rPr>
      <t>Transaction Details Report (Online )</t>
    </r>
    <r>
      <rPr>
        <sz val="9"/>
        <color rgb="FF000000"/>
        <rFont val="Aptos Narrow"/>
        <family val="2"/>
        <scheme val="minor"/>
      </rPr>
      <t xml:space="preserve"> - Add Mail Class (class of mail)</t>
    </r>
  </si>
  <si>
    <t>B-972061, B-972063 Add Mail Class (class of mail) to the transaction details report (data feed and the report)B-986489</t>
  </si>
  <si>
    <r>
      <rPr>
        <b/>
        <sz val="9"/>
        <color rgb="FF000000"/>
        <rFont val="Aptos Narrow"/>
        <family val="2"/>
        <scheme val="minor"/>
      </rPr>
      <t xml:space="preserve">Landing Page / Monthly Adjustment Summary </t>
    </r>
    <r>
      <rPr>
        <sz val="9"/>
        <color rgb="FF000000"/>
        <rFont val="Aptos Narrow"/>
        <family val="2"/>
        <scheme val="minor"/>
      </rPr>
      <t>- Add transaction numbers (for non-Census/Monthly assessments) similar to eVS</t>
    </r>
  </si>
  <si>
    <t>B-972053: Adding transaction numbers on Monthly Adjustments tab (for non-Census/Monthly assessments) similar to eVS</t>
  </si>
  <si>
    <r>
      <rPr>
        <b/>
        <sz val="9"/>
        <color theme="1"/>
        <rFont val="Aptos Narrow"/>
        <family val="2"/>
        <scheme val="minor"/>
      </rPr>
      <t xml:space="preserve">Transaction Details Report (online) </t>
    </r>
    <r>
      <rPr>
        <sz val="9"/>
        <color theme="1"/>
        <rFont val="Aptos Narrow"/>
        <family val="2"/>
        <scheme val="minor"/>
      </rPr>
      <t>have Dispute ID added</t>
    </r>
  </si>
  <si>
    <t>Transaction details Report (online) have Dispute ID added</t>
  </si>
  <si>
    <t>"Weight" on the reporting UI is rounding up weights when they should not, the weight needs to be displayed without any rounding. - Manifest Variance - Same as ID 511</t>
  </si>
  <si>
    <t>Request from Matt Jordan - Ensure that all weights in the specified columns are displayed with their exact values. Verify that no rounding occurs in any instance of weight display on the reporting UI.</t>
  </si>
  <si>
    <t>NetStamps Refunds Automation</t>
  </si>
  <si>
    <t>Manifest, Mailer Review, Payment, Reporting, Data</t>
  </si>
  <si>
    <t>USPS will implement an indicia cancel endpoint for letter/flat postage printed without an Intelligent Mail barcode (NetStamps), allowing refunds to be requested within 30 days. Refunds will be automatically granted up to a predefined threshold of purchased postage. Requests exceeding this threshold will undergo manual review and require additional documentation to verify unused postage.
This enhancement introduces an automated refund process for USPS's NetStamps, allowing mailers to cancel letter/flat postage printed without an IMb (NetStamps) via a new endpoint. Refund requests must be made within 30 days and are automatically granted up to a preset percentage. Requests exceeding this threshold will require manual review with additional documentation. Changes impact USPS Ship's Manifest/Mailer Review, Payment, Reporting, and Data microservices, as well as integrations with EMAS and Salesforce.
USPS will support an indicia cancel endpoint for letter/flat postage printed without an IMb (aka Netstamps).  Refunds must be requested within 30 days.  Refunds will be automatically granted up to a preset % of postage purchased.  Once the automated refund threshold is exceeded,  additional refund requests may be submitted via endpoint but will be manually reviewed in bulk by USPS and require additional documentation to prove that the postage was not used in mailing.  
EMAS:
•	External:
o	Expose new endpoint for Mailers to request refunds/cancelations on Netstamps
•	Interface to Ship:
o	Add Netstamps package level identifier to existing message for payment of original indicia request
o	“ “ for refund request API call.
USPS Ship:
•	Manifest/MR:
o	Begin tracking monthly postage by mailer.
o	If a refund request is received for a mailer and they have not requested over particular percentage in the month process the refund
o	If the mailer has already crossed the threshold for refunds send the request and any subsequent requests to Salesforce to open a dispute ticket.
•	Payment Service 
o	Would likely need to make updates to ensure the label in question was already paid for before approving the refund request. @Avellanet, Jeffrey D - Arlington, VA - Contractor
•	Data/Reporting: 
o	Provide Status of Unused Label Requests through existing webhook
Salesforce:
•	Open Dispute for the mailer tracking Unused Label requests through end of the month
•	Allow for review by APV Helpdesk
•	Provide Closeout back to USPS Ship to process or deny refund requests</t>
  </si>
  <si>
    <r>
      <rPr>
        <b/>
        <sz val="9"/>
        <color rgb="FF000000"/>
        <rFont val="Aptos Narrow"/>
        <family val="2"/>
        <scheme val="minor"/>
      </rPr>
      <t>Transaction Details Report (online)</t>
    </r>
    <r>
      <rPr>
        <sz val="9"/>
        <color rgb="FF000000"/>
        <rFont val="Aptos Narrow"/>
        <family val="2"/>
        <scheme val="minor"/>
      </rPr>
      <t xml:space="preserve"> Needs to be moved to source the data from Reporting Services DB so that the data is available for more than 120 day (current limitation from Data Services)</t>
    </r>
  </si>
  <si>
    <t>B-1003786 Requested new RAID ID for Phase 2</t>
  </si>
  <si>
    <t>API Access Control (API Monetization)</t>
  </si>
  <si>
    <t>Josh</t>
  </si>
  <si>
    <t>SAME AS 476 - Average weights into Reporting (internal and external customers) - Manifest Variance Report - Same as ID 476</t>
  </si>
  <si>
    <r>
      <rPr>
        <b/>
        <sz val="9"/>
        <color rgb="FF000000"/>
        <rFont val="Aptos Narrow"/>
        <family val="2"/>
        <scheme val="minor"/>
      </rPr>
      <t xml:space="preserve">Landing page / Monthly Account Summary &amp; Monthly Adjustment Summary </t>
    </r>
    <r>
      <rPr>
        <sz val="9"/>
        <color rgb="FF000000"/>
        <rFont val="Aptos Narrow"/>
        <family val="2"/>
        <scheme val="minor"/>
      </rPr>
      <t>- Add EPS Transaction ID and EPS Transaction Date</t>
    </r>
  </si>
  <si>
    <t>DHL, IB</t>
  </si>
  <si>
    <r>
      <rPr>
        <sz val="9"/>
        <color rgb="FF000000"/>
        <rFont val="Aptos Narrow"/>
        <family val="2"/>
        <scheme val="minor"/>
      </rPr>
      <t xml:space="preserve">Add EPS Transaction ID column to Monthly Account Summary Page, Monthly Adjustment Summary Tab. Adding the EPS Transaction Number and Transaction Date to the Monthly Adjustments tab of the landing page. DHL comment: "Need to see EPS Transaction ID in online reports when there is an adjustment (similar to 3rd tab in EVS) - there is currently no way to match to Transactions" </t>
    </r>
    <r>
      <rPr>
        <b/>
        <sz val="9"/>
        <color rgb="FF000000"/>
        <rFont val="Aptos Narrow"/>
        <family val="2"/>
        <scheme val="minor"/>
      </rPr>
      <t>Changed to  Adding the EPS Transaction Number and Transaction Date to the Monthly Adjustments tab of the landing page</t>
    </r>
  </si>
  <si>
    <t>Data - Include Origin and Destination Addresses in the Adjustments Webhook (ID 555) 
B-1021933</t>
  </si>
  <si>
    <t>This feature is to expose origin and destination address information in adjustments related to proposed updates to USPS APIs for Shopify. B-1021933</t>
  </si>
  <si>
    <t>Data - USPS API Processing Details for Assessed and Manifested  Processing Category (ID 556) B-1022084</t>
  </si>
  <si>
    <t>This feature is to expose processing category details in Adjustments for Shopify, as part of the proposed updates to USPS APIs. B-1022084
Pricing completed their work in an earlier release</t>
  </si>
  <si>
    <t>Data - Enhanced USPS Services in Adjustments (ID 557) B-1021908</t>
  </si>
  <si>
    <t>This feature is to expose extra services in the Adjustments section of Shopify, specifically related to proposed updates to USPS APIs. B-1021908</t>
  </si>
  <si>
    <t>Data - Idempotency Key for Adjustments (ID 558) B-1021975</t>
  </si>
  <si>
    <t>This feature is to expose an idempotency key in Adjustments for Shopify, as part of the proposed updates to USPS APIs. This enhancement aims to improve the handling of adjustments by ensuring that repeated requests with the same idempotency key will not result in duplicate actions, thereby streamlining the process and reducing errors. B-1021975</t>
  </si>
  <si>
    <t>Responsive Reports Dropdown Menu Adjustment (Online)</t>
  </si>
  <si>
    <t>This feature is to enhance the Reports dropdown menu for USPS employees by making it responsive to screen size. It will automatically adjust and include a scrollbar when necessary, allowing easy access to all report options without the menu extending off the bottom of the page.</t>
  </si>
  <si>
    <t>Expose mailing date in label purchase response and adjustment webhook</t>
  </si>
  <si>
    <t>Need to understand how this data is being sent to Ship , will need development efforts (Data Services and may be EMAS)</t>
  </si>
  <si>
    <t>Charge EPA from D8 Payer role for Manifested Returns</t>
  </si>
  <si>
    <t>Implemented with R24.0.0.1.  This feature is to enhance the Manifest Returns process by allowing Shippo to charge the EPA listed in the D8 record with the payer role (role value of '03') for manifested returns. 
However, the CRID sent to EPS and Data/Reporting from Payment is the CRID of the Package MID owner; it's unclear if the CRID messaging is causing any confusion.</t>
  </si>
  <si>
    <t>R24.0.0.1</t>
  </si>
  <si>
    <t>Support combined Registered Mail with Collect on Delivery</t>
  </si>
  <si>
    <t>Data, Enterprise Pricing, Reporting, Pricing</t>
  </si>
  <si>
    <t>R24.1.0.0</t>
  </si>
  <si>
    <r>
      <rPr>
        <b/>
        <sz val="9"/>
        <color rgb="FF000000"/>
        <rFont val="Aptos Narrow"/>
        <family val="2"/>
        <scheme val="minor"/>
      </rPr>
      <t xml:space="preserve">Transaction Details Report Data Feed </t>
    </r>
    <r>
      <rPr>
        <sz val="9"/>
        <color rgb="FF000000"/>
        <rFont val="Aptos Narrow"/>
        <family val="2"/>
        <scheme val="minor"/>
      </rPr>
      <t xml:space="preserve">to also have Dispute ID </t>
    </r>
  </si>
  <si>
    <t>IV-MTR, Data</t>
  </si>
  <si>
    <t xml:space="preserve">Transaction details Report data feed to also have Dispute ID </t>
  </si>
  <si>
    <t>Transition to Pano/ERR Tables</t>
  </si>
  <si>
    <t>This feature is to update the system to utilize new Pano/Err tables and views, replacing the existing Prog Reg tables and views. This enhancement is necessary for the transition to Pano/Err, and it requires code updates for both Pricing and Enterprise pricing to ensure compatibility with the new tables and views.</t>
  </si>
  <si>
    <t>USPS Ship Support for Manifest D5</t>
  </si>
  <si>
    <t>Manifest, Data, IV-MTR</t>
  </si>
  <si>
    <r>
      <rPr>
        <b/>
        <sz val="9"/>
        <color rgb="FFFF0000"/>
        <rFont val="Aptos Narrow"/>
        <family val="2"/>
        <scheme val="minor"/>
      </rPr>
      <t xml:space="preserve">NEED TO MAKE SURE IV-MTR CAN DO : MUST BE DONE BY 2/28 </t>
    </r>
    <r>
      <rPr>
        <sz val="9"/>
        <color theme="1"/>
        <rFont val="Aptos Narrow"/>
        <family val="2"/>
        <scheme val="minor"/>
      </rPr>
      <t>- This feature is to enhance the USPS Ship functionality by supporting the unpublished Manifest D5 record. It aims to improve the overall process related to Manifest D5 support and requests.</t>
    </r>
  </si>
  <si>
    <t>Blue/Green API Deployment for Ship (directly related to #598)</t>
  </si>
  <si>
    <t>This feature is to ensure that all core externally available APIs utilize Blue/Green deployments. Specifically, any Ship-hosted APIs involved in label generation and cancellation processes must also implement Blue/Green deployments. This approach is necessary to prevent any impacts on external mailer services caused by outages during Ship deployments.
Mailer Review APIs (1 - Dispute API 2 - Internal Unused Label API 3 - External Unused Label API)
Acct Mgmt APIs - extapi/validate/{crid}, extapi/shiplivecheck/crid/{crid}, extapi/shiplivecheck/mid/{mid}</t>
  </si>
  <si>
    <t>Money Order Fee for COD Service</t>
  </si>
  <si>
    <t>This feature is to introduce a Money Order Fee for the Cash on Delivery (COD) Extra Service. The fee will be applied when COD payments are made using a Money Order. Although the original request came from Pitney, this feature will be available to all mailers. The implementation of this fee will impact Enterprise Pricing only.</t>
  </si>
  <si>
    <t>Y - PCTS</t>
  </si>
  <si>
    <t>API Access Control (API Monetization) - Veripoint</t>
  </si>
  <si>
    <t>Continuation of RAID ID 504</t>
  </si>
  <si>
    <t>576-1</t>
  </si>
  <si>
    <t>Add Mail Class to Transaction Report Data Feed B-972063</t>
  </si>
  <si>
    <t xml:space="preserve">This feature is to enhance the Transaction Details Report (Data Feed) by adding a Mail Class, which refers to the classification of mail.
</t>
  </si>
  <si>
    <t>Create new Webhook for Return labels ["Subscriptions - Package Transaction Details", same webhook as #584, this one is sub-type = "RETURN_LABEL"]</t>
  </si>
  <si>
    <r>
      <rPr>
        <b/>
        <sz val="9"/>
        <color rgb="FFFF0000"/>
        <rFont val="Aptos Narrow"/>
        <family val="2"/>
        <scheme val="minor"/>
      </rPr>
      <t>(AD: By March)</t>
    </r>
    <r>
      <rPr>
        <sz val="9"/>
        <color theme="1"/>
        <rFont val="Aptos Narrow"/>
        <family val="2"/>
        <scheme val="minor"/>
      </rPr>
      <t xml:space="preserve"> need development of a new Webhook that would provided PTD (Package Transaction Details), would also need development by EMAS and the Webhooks team</t>
    </r>
  </si>
  <si>
    <t>R25.0.0.0</t>
  </si>
  <si>
    <t>Create new Webhook for non-label charges ["Subscriptions - Package Transaction Details", same webhook as #583, this one is sub-type = "NON_LABEL_FEE"]</t>
  </si>
  <si>
    <r>
      <t xml:space="preserve">Expose all package info for duplicates in the </t>
    </r>
    <r>
      <rPr>
        <b/>
        <sz val="9"/>
        <color rgb="FF000000"/>
        <rFont val="Aptos Narrow"/>
        <family val="2"/>
        <scheme val="minor"/>
      </rPr>
      <t>Adjustments API</t>
    </r>
  </si>
  <si>
    <t>Data, Scan, Verify</t>
  </si>
  <si>
    <r>
      <rPr>
        <b/>
        <sz val="9"/>
        <color rgb="FFFF0000"/>
        <rFont val="Aptos Narrow"/>
        <family val="2"/>
        <scheme val="minor"/>
      </rPr>
      <t>(AD: By March - WAITING FOR INDUSTRY ALERT TO GO OUT)</t>
    </r>
    <r>
      <rPr>
        <b/>
        <sz val="9"/>
        <color theme="1"/>
        <rFont val="Aptos Narrow"/>
        <family val="2"/>
        <scheme val="minor"/>
      </rPr>
      <t xml:space="preserve"> </t>
    </r>
    <r>
      <rPr>
        <sz val="9"/>
        <color theme="1"/>
        <rFont val="Aptos Narrow"/>
        <family val="2"/>
        <scheme val="minor"/>
      </rPr>
      <t>Will need development efforts (Data Services) and may be EMAS</t>
    </r>
  </si>
  <si>
    <r>
      <t xml:space="preserve">Include Country Code in </t>
    </r>
    <r>
      <rPr>
        <b/>
        <sz val="9"/>
        <color rgb="FF000000"/>
        <rFont val="Aptos Narrow"/>
        <family val="2"/>
        <scheme val="minor"/>
      </rPr>
      <t>Adjustments API</t>
    </r>
    <r>
      <rPr>
        <sz val="9"/>
        <color rgb="FF000000"/>
        <rFont val="Aptos Narrow"/>
        <family val="2"/>
        <scheme val="minor"/>
      </rPr>
      <t xml:space="preserve"> and </t>
    </r>
    <r>
      <rPr>
        <b/>
        <sz val="9"/>
        <color rgb="FF000000"/>
        <rFont val="Aptos Narrow"/>
        <family val="2"/>
        <scheme val="minor"/>
      </rPr>
      <t>Subscriptions-Adjustments Webhook</t>
    </r>
  </si>
  <si>
    <t>This feature is to add country code details to Subscriptions Adjustments (Webhook) and Adjustments API. This enhancement aims to improve the functionality of these systems by incorporating additional address information.</t>
  </si>
  <si>
    <r>
      <t xml:space="preserve">Incude Manifest Package ID in </t>
    </r>
    <r>
      <rPr>
        <b/>
        <sz val="9"/>
        <color theme="1"/>
        <rFont val="Aptos Narrow"/>
        <family val="2"/>
        <scheme val="minor"/>
      </rPr>
      <t>Subscriptions - Disputes Webhook</t>
    </r>
  </si>
  <si>
    <t>ETSY</t>
  </si>
  <si>
    <t>Data, MR</t>
  </si>
  <si>
    <t>This feature is to consume the Manifest Package ID on APV disputed packages and provide this information in the disputes webhook. This enhancement aims to improve the handling of disputed packages by ensuring that the relevant Manifest Package ID is included in the disputes webhook.</t>
  </si>
  <si>
    <r>
      <t xml:space="preserve">Include Mail Class name in </t>
    </r>
    <r>
      <rPr>
        <b/>
        <sz val="9"/>
        <color rgb="FF000000"/>
        <rFont val="Aptos Narrow"/>
        <family val="2"/>
        <scheme val="minor"/>
      </rPr>
      <t>Adjustments API</t>
    </r>
    <r>
      <rPr>
        <sz val="9"/>
        <color rgb="FF000000"/>
        <rFont val="Aptos Narrow"/>
        <family val="2"/>
        <scheme val="minor"/>
      </rPr>
      <t xml:space="preserve"> and </t>
    </r>
    <r>
      <rPr>
        <b/>
        <sz val="9"/>
        <color rgb="FF000000"/>
        <rFont val="Aptos Narrow"/>
        <family val="2"/>
        <scheme val="minor"/>
      </rPr>
      <t>Subscriptions-Adjustments Webhook</t>
    </r>
  </si>
  <si>
    <t>This feature is to enhance the Adjustments API and Webhook by including the full mail class name. It adds the spelled-out mail class, not just the two-letter code, to provide clearer and more detailed information.</t>
  </si>
  <si>
    <t>Ship MCAT (aka Preprod) Environment Setup</t>
  </si>
  <si>
    <t>All, EMAS</t>
  </si>
  <si>
    <t>USPS Ship needs a PrePROD environment to support mailer testing using PROD reference data prior and CAT code, prior to PROD deployments. 12/2 - Meeting is needed to further discuss requirements/expectations.</t>
  </si>
  <si>
    <t>Hardik</t>
  </si>
  <si>
    <t>X.X.X.X</t>
  </si>
  <si>
    <r>
      <t xml:space="preserve">(New) Adjustment </t>
    </r>
    <r>
      <rPr>
        <b/>
        <sz val="9"/>
        <color theme="1"/>
        <rFont val="Aptos Narrow"/>
        <family val="2"/>
        <scheme val="minor"/>
      </rPr>
      <t>Reconciliation API</t>
    </r>
  </si>
  <si>
    <r>
      <rPr>
        <b/>
        <sz val="9"/>
        <color rgb="FFFF0000"/>
        <rFont val="Aptos Narrow"/>
        <family val="2"/>
        <scheme val="minor"/>
      </rPr>
      <t>(AD: By March)</t>
    </r>
    <r>
      <rPr>
        <sz val="9"/>
        <color theme="1"/>
        <rFont val="Aptos Narrow"/>
        <family val="2"/>
        <scheme val="minor"/>
      </rPr>
      <t xml:space="preserve"> Shopify would like a new API where they can either pass a PIC/time period and they expect us to send a response that will include details on the adjustments/refunds</t>
    </r>
  </si>
  <si>
    <t>R26.0.0.0</t>
  </si>
  <si>
    <r>
      <t xml:space="preserve">Include Extra Service Name in </t>
    </r>
    <r>
      <rPr>
        <b/>
        <sz val="9"/>
        <color theme="1"/>
        <rFont val="Aptos Narrow"/>
        <family val="2"/>
        <scheme val="minor"/>
      </rPr>
      <t>Adjustments API</t>
    </r>
    <r>
      <rPr>
        <sz val="9"/>
        <color theme="1"/>
        <rFont val="Aptos Narrow"/>
        <family val="2"/>
        <scheme val="minor"/>
      </rPr>
      <t xml:space="preserve"> and </t>
    </r>
    <r>
      <rPr>
        <b/>
        <sz val="9"/>
        <color theme="1"/>
        <rFont val="Aptos Narrow"/>
        <family val="2"/>
        <scheme val="minor"/>
      </rPr>
      <t>Subscriptions-Adjustments Webhook</t>
    </r>
  </si>
  <si>
    <t>This feature is to add an extra service name in the Subscriptions Adjustments (Webhook) and Adjustments API. This enhancement aims to improve the functionality of these services.</t>
  </si>
  <si>
    <t>Include Dispute ID on Package Transaction Details Data Feed</t>
  </si>
  <si>
    <t>This feature is to update the Package Transaction Details data feed to include the Dispute ID, which will now be visible to external users. This replaces the current internal-only value that starts with "PPD."</t>
  </si>
  <si>
    <r>
      <t xml:space="preserve">Include Processing Category Full Name in </t>
    </r>
    <r>
      <rPr>
        <b/>
        <sz val="9"/>
        <color theme="1"/>
        <rFont val="Aptos Narrow"/>
        <family val="2"/>
        <scheme val="minor"/>
      </rPr>
      <t>Adjustments API</t>
    </r>
    <r>
      <rPr>
        <sz val="9"/>
        <color theme="1"/>
        <rFont val="Aptos Narrow"/>
        <family val="2"/>
        <scheme val="minor"/>
      </rPr>
      <t xml:space="preserve"> and </t>
    </r>
    <r>
      <rPr>
        <b/>
        <sz val="9"/>
        <color theme="1"/>
        <rFont val="Aptos Narrow"/>
        <family val="2"/>
        <scheme val="minor"/>
      </rPr>
      <t>Subscriptions-Adjustments Webhook</t>
    </r>
  </si>
  <si>
    <t>This feature is to enhance the Adjustments API and Webhook by including the full name of the processing category. It adds the spelled-out processing category, not just the PTD code, to provide clearer and more detailed information.</t>
  </si>
  <si>
    <t xml:space="preserve"> </t>
  </si>
  <si>
    <t>Delivery Option Indicators with SDC (PTR request - CMC2058)</t>
  </si>
  <si>
    <r>
      <rPr>
        <b/>
        <sz val="9"/>
        <color rgb="FFFF0000"/>
        <rFont val="Aptos Narrow"/>
        <family val="2"/>
        <scheme val="minor"/>
      </rPr>
      <t>External release target date: 3/28/2026</t>
    </r>
    <r>
      <rPr>
        <sz val="9"/>
        <color rgb="FF000000"/>
        <rFont val="Aptos Narrow"/>
        <family val="2"/>
        <scheme val="minor"/>
      </rPr>
      <t>:  Modify use of delivery option indicators with SDC (CMC2058). Email with user stories "PTR External Release:…."</t>
    </r>
  </si>
  <si>
    <t>Y - 660048</t>
  </si>
  <si>
    <t>R26.1.0.0</t>
  </si>
  <si>
    <t>BNS 200770 - Label Provider - Send Commissions Report data to SAL/UAP</t>
  </si>
  <si>
    <t>Request from Alexandra's CAT team; Note ID# 158 for a data feed</t>
  </si>
  <si>
    <t>BNS 200770 - Label Provider Incentive - Incentive Disbursement</t>
  </si>
  <si>
    <t>Data, Manifest, Payment, Pricing, Verify</t>
  </si>
  <si>
    <t>New Label Provider Incentive on Qualified NSA Volume
CIO initiative from Beth; Michelle collected ROMs 8/22</t>
  </si>
  <si>
    <t xml:space="preserve">Free Matter for the Blind - "Phase 1" </t>
  </si>
  <si>
    <t>Manifest, Pricing, Data, Reporting, Scan, Account Mgmt, Payment</t>
  </si>
  <si>
    <r>
      <rPr>
        <b/>
        <sz val="9"/>
        <color rgb="FFFF0000"/>
        <rFont val="Aptos Narrow"/>
        <family val="2"/>
        <scheme val="minor"/>
      </rPr>
      <t xml:space="preserve">(EMAS is saying June) Phase 1 = Domestic Only - Ability to process manifest in ship with $0 calculation for base postage and extra service fee.  </t>
    </r>
    <r>
      <rPr>
        <b/>
        <sz val="9"/>
        <color rgb="FF000000"/>
        <rFont val="Aptos Narrow"/>
        <family val="2"/>
        <scheme val="minor"/>
      </rPr>
      <t xml:space="preserve">BNS 221949   BUSINESS CONTACTS: PETE STARVASKI &amp; MARCIE SHEARL
</t>
    </r>
    <r>
      <rPr>
        <sz val="9"/>
        <color rgb="FF000000"/>
        <rFont val="Aptos Narrow"/>
        <family val="2"/>
        <scheme val="minor"/>
      </rPr>
      <t>Removed from July 2025 PC (joyce funding) (TRC project - Linda Minden). Original PC BNS for FMB: BNS 221949  -----THIS LIKELY INCLUDES OTHER UPSTREAM SYSTEMS --------</t>
    </r>
  </si>
  <si>
    <t>Amazon Custom MDF</t>
  </si>
  <si>
    <t>Verify if MDFv7 is inclusive of Amazon process today</t>
  </si>
  <si>
    <t>Trusted Weights and Dimensions Data Feed (Direct Integration)</t>
  </si>
  <si>
    <t>eBay</t>
  </si>
  <si>
    <r>
      <rPr>
        <b/>
        <sz val="9"/>
        <color rgb="FFFF0000"/>
        <rFont val="Aptos Narrow"/>
        <family val="2"/>
        <scheme val="minor"/>
      </rPr>
      <t>NEED TO MAKE SURE IV-MTR CAN DO</t>
    </r>
    <r>
      <rPr>
        <sz val="9"/>
        <color rgb="FF000000"/>
        <rFont val="Aptos Narrow"/>
        <family val="2"/>
        <scheme val="minor"/>
      </rPr>
      <t xml:space="preserve">  10/14/25 AD meeting, she told Cheryll to tell eBay March 2026</t>
    </r>
  </si>
  <si>
    <r>
      <t xml:space="preserve">Charge PRS for manifest only - </t>
    </r>
    <r>
      <rPr>
        <b/>
        <sz val="9"/>
        <color rgb="FF000000"/>
        <rFont val="Aptos Narrow"/>
        <family val="2"/>
        <scheme val="minor"/>
      </rPr>
      <t>TECH DEBT</t>
    </r>
  </si>
  <si>
    <t>Manifest, Scan, Verify, Pricing</t>
  </si>
  <si>
    <t>Prior Release 1/22/26 R23.1.0.0    (Created phase 2 for census)</t>
  </si>
  <si>
    <r>
      <t>Calculated Dimensional Weight Integration (</t>
    </r>
    <r>
      <rPr>
        <sz val="9"/>
        <color rgb="FFFF0000"/>
        <rFont val="Aptos Narrow"/>
        <family val="2"/>
        <scheme val="minor"/>
      </rPr>
      <t>INC000010442207</t>
    </r>
    <r>
      <rPr>
        <sz val="9"/>
        <color theme="1"/>
        <rFont val="Aptos Narrow"/>
        <family val="2"/>
        <scheme val="minor"/>
      </rPr>
      <t>)</t>
    </r>
  </si>
  <si>
    <t>Data, Pricing</t>
  </si>
  <si>
    <t>This enhancement will add a new field in Data Services to provide the calculated dimensional weight of packages. This feature is requested by business support to improve pricing accuracy and operational efficiency by allowing users to access and utilize the dimensional weight data directly within the Data Services platform.
The integration of calculated dimensional weight will facilitate better decision-making in pricing strategies and enhance the overall user experience by providing essential data at their fingertips.</t>
  </si>
  <si>
    <r>
      <t xml:space="preserve">Comprehensive </t>
    </r>
    <r>
      <rPr>
        <b/>
        <sz val="9"/>
        <color theme="1"/>
        <rFont val="Aptos Narrow"/>
        <family val="2"/>
        <scheme val="minor"/>
      </rPr>
      <t>Disputes Data Feed</t>
    </r>
  </si>
  <si>
    <r>
      <rPr>
        <b/>
        <sz val="9"/>
        <color rgb="FFFF0000"/>
        <rFont val="Aptos Narrow"/>
        <family val="2"/>
        <scheme val="minor"/>
      </rPr>
      <t xml:space="preserve">NEED TO MAKE SURE IV-MTR CAN DO  - EBAY TOLD MARCH  </t>
    </r>
    <r>
      <rPr>
        <sz val="9"/>
        <color theme="1"/>
        <rFont val="Aptos Narrow"/>
        <family val="2"/>
        <scheme val="minor"/>
      </rPr>
      <t xml:space="preserve"> This feature is to create a new disputes data feed that will encompass all disputes, including unused labels, ad hoc adjustments, and joint reviews.</t>
    </r>
  </si>
  <si>
    <t>Fraud Prevention Package Manifest Confirmation</t>
  </si>
  <si>
    <t>This feature is to enhance external fraud payment checks by providing an externally available API. This API allows shippers to confirm that a USPS shipment has a manifest for a package, ensuring that the package is not at risk of fraud intercept before it is inducted into the network.</t>
  </si>
  <si>
    <t>Fraud IMpb 120-Day Retention Enhancement</t>
  </si>
  <si>
    <t>This feature is to enhance the current PIC retention policy by updating the retention period for IMpbs (Intelligent Mail package barcodes) to 120 days, aligning with USPS standards. The Fraud team aims to increase the number of IMpbs it can blacklist.
Key components of this feature include:
Automatic Disabling of IMpbs: IMpbs older than 120 days will be automatically removed from the Black or Whitelists, allowing them to be reused.
New Fraud Data Collection: The Fraud team will have access to historical data for IMpbs to check if they have been previously listed.
New Fraud Disable Job: A new job will be created to transfer data to ensure the new collection is updated.
Alerting System: New alerts and monitoring will be established to notify the team if IMpbs over 120 days are not being removed as expected.</t>
  </si>
  <si>
    <r>
      <t>CustReg Cookie Update for External UI</t>
    </r>
    <r>
      <rPr>
        <b/>
        <sz val="9"/>
        <color rgb="FF000000"/>
        <rFont val="Aptos Narrow"/>
        <family val="2"/>
        <scheme val="minor"/>
      </rPr>
      <t xml:space="preserve"> - Tech Debt</t>
    </r>
  </si>
  <si>
    <r>
      <rPr>
        <b/>
        <sz val="9"/>
        <color rgb="FFFF0000"/>
        <rFont val="Aptos Narrow"/>
        <family val="2"/>
        <scheme val="minor"/>
      </rPr>
      <t xml:space="preserve">IMPACTS EXTERNAL LOG-IN  </t>
    </r>
    <r>
      <rPr>
        <sz val="9"/>
        <color rgb="FF000000"/>
        <rFont val="Aptos Narrow"/>
        <family val="2"/>
        <scheme val="minor"/>
      </rPr>
      <t>This feature is to eliminate the use of the old TINTCYALF cookie in the External UI CustReg system. Starting March 3rd, CustReg will stop publishing the TINTCYALF cookie in the DEV and SIT environments, and it may stop publishing it in the production environment by the end of March. External-facing user interfaces that currently rely on this old cookie will need to switch to using either CIAM directly or the new CustReg cookie named 'rztovDDKjcKR7pWb'.</t>
    </r>
  </si>
  <si>
    <t>Include assessment data for live shippers (Dups, Unman) in the data feeds</t>
  </si>
  <si>
    <t>This feature is to enhance the system by including packages that are part of the monthly assessments—specifically unmanifested and duplicate charge proposals—in their respective data feeds when the shippers are active in USPS Ship.</t>
  </si>
  <si>
    <t>Fuel Surcharge</t>
  </si>
  <si>
    <t xml:space="preserve">High level - 
Implement the ability to set a configurable rate that could be changed for all competitive products  
Ability to update the % each week (applies to base plus other fees – such as oversize, or time-limited prices)
Ability to include/exclude products
Ability to exclude NSAs from surcharge </t>
  </si>
  <si>
    <t>Change to include trusted weight and dims values in the 'Scan *' elements on Package Transaction Details Data Feed (instead of the assessed values)</t>
  </si>
  <si>
    <r>
      <rPr>
        <b/>
        <sz val="9"/>
        <color rgb="FFFF0000"/>
        <rFont val="Aptos Narrow"/>
        <family val="2"/>
        <scheme val="minor"/>
      </rPr>
      <t>This needs to stay at 5/03.</t>
    </r>
    <r>
      <rPr>
        <sz val="9"/>
        <color rgb="FF000000"/>
        <rFont val="Aptos Narrow"/>
        <family val="2"/>
        <scheme val="minor"/>
      </rPr>
      <t xml:space="preserve"> This feature is to update the Package Transaction Details data feed by including the Scale Weight information.</t>
    </r>
  </si>
  <si>
    <t>R26.2.0.0</t>
  </si>
  <si>
    <t>IV-MTR Package Tracking Invoice Feed</t>
  </si>
  <si>
    <r>
      <rPr>
        <b/>
        <sz val="9"/>
        <color rgb="FFFF0000"/>
        <rFont val="Aptos Narrow"/>
        <family val="2"/>
        <scheme val="minor"/>
      </rPr>
      <t xml:space="preserve">Requested 4/23/26 --&gt; moved to 4/29. </t>
    </r>
    <r>
      <rPr>
        <sz val="9"/>
        <color rgb="FF000000"/>
        <rFont val="Aptos Narrow"/>
        <family val="2"/>
        <scheme val="minor"/>
      </rPr>
      <t>This feature is to develop a new IV-MTR data feed that provides invoice details related to the usage of Package Tracking Data APIs.</t>
    </r>
  </si>
  <si>
    <t>API Access Control Invoicing Data Feed</t>
  </si>
  <si>
    <t>This feature is to provide API access control for invoicing by introducing a new data feed in IV/MTR, enhancing the invoicing process.</t>
  </si>
  <si>
    <t>R26.0.2.0</t>
  </si>
  <si>
    <t xml:space="preserve">Get dispute IDs for unused label refunds submitted via manifest/correction files </t>
  </si>
  <si>
    <t>UPSMI</t>
  </si>
  <si>
    <t>Mailer Review, Manifest</t>
  </si>
  <si>
    <t>Includes display of dispute ID on MR homepage</t>
  </si>
  <si>
    <t>R27.0.0.0</t>
  </si>
  <si>
    <t>Automatically retry Unused Label Refund labels that are not found (Reduce disputes ?)</t>
  </si>
  <si>
    <t>Shippo; Reduce Disputes; UL</t>
  </si>
  <si>
    <r>
      <t xml:space="preserve"> (</t>
    </r>
    <r>
      <rPr>
        <i/>
        <sz val="9"/>
        <color theme="1"/>
        <rFont val="Aptos Narrow"/>
        <family val="2"/>
        <scheme val="minor"/>
      </rPr>
      <t>Duplicate entry from ID #2; keeping this one</t>
    </r>
    <r>
      <rPr>
        <sz val="9"/>
        <color theme="1"/>
        <rFont val="Aptos Narrow"/>
        <family val="2"/>
        <scheme val="minor"/>
      </rPr>
      <t>) Only retry if there's no manifest, not any other reject reasons.</t>
    </r>
  </si>
  <si>
    <t>PFS - Include permit type and permit number in PFS message</t>
  </si>
  <si>
    <t>Payment, Manifest, Data (test only), Reporting (test only), Pricing (test only)</t>
  </si>
  <si>
    <t>Requested by Diego-Maher, Anne S on behalf of PFS customers</t>
  </si>
  <si>
    <t>James Duffy</t>
  </si>
  <si>
    <t>Send EFN and Software vendor code to SAL (Sales Analytics Lakehouse)</t>
  </si>
  <si>
    <t>CAT</t>
  </si>
  <si>
    <t>Recast/resend data from the last 120 days that includes EFN and software vendor code to SAL (Sales Analytics Lakehouse)</t>
  </si>
  <si>
    <t>PFSC Permit Removal</t>
  </si>
  <si>
    <t>PFSC</t>
  </si>
  <si>
    <t>EPS, Account Management</t>
  </si>
  <si>
    <r>
      <rPr>
        <sz val="9"/>
        <color rgb="FF000000"/>
        <rFont val="Aptos Narrow"/>
        <family val="2"/>
        <scheme val="minor"/>
      </rPr>
      <t xml:space="preserve">BNS246015 - POC Charles Cresawn - </t>
    </r>
    <r>
      <rPr>
        <b/>
        <sz val="9"/>
        <color rgb="FFFF0000"/>
        <rFont val="Aptos Narrow"/>
        <family val="2"/>
        <scheme val="minor"/>
      </rPr>
      <t>MUST BE IMPLEMENTED BY END OF AUGUST</t>
    </r>
  </si>
  <si>
    <t>Charles Cresawn</t>
  </si>
  <si>
    <r>
      <t xml:space="preserve">Include Secondary Address in </t>
    </r>
    <r>
      <rPr>
        <b/>
        <sz val="9"/>
        <rFont val="Aptos Narrow"/>
        <family val="2"/>
        <scheme val="minor"/>
      </rPr>
      <t>Adjustments API</t>
    </r>
    <r>
      <rPr>
        <sz val="9"/>
        <rFont val="Aptos Narrow"/>
        <family val="2"/>
        <scheme val="minor"/>
      </rPr>
      <t xml:space="preserve"> and </t>
    </r>
    <r>
      <rPr>
        <b/>
        <sz val="9"/>
        <rFont val="Aptos Narrow"/>
        <family val="2"/>
        <scheme val="minor"/>
      </rPr>
      <t>Subscriptions-Adjustments Webhook</t>
    </r>
  </si>
  <si>
    <t>Manifest, Data, Reporting</t>
  </si>
  <si>
    <t>This feature is to add secondary address details to Subscriptions Adjustments (Webhook) and Adjustments API. This enhancement aims to improve the functionality of these systems by incorporating additional address information.</t>
  </si>
  <si>
    <t>Payment Type Provision to SAL/UAP</t>
  </si>
  <si>
    <t>This feature is to provide payment type options, such as Credit Card (CC), Automated Clearing House (ACH), Trust, or other payment types, to SAL/UAP as an enhancement.</t>
  </si>
  <si>
    <t>Conditionally Disable Instant Retry feature</t>
  </si>
  <si>
    <t>This feature is to conditionally disable the "instant retry" function in the Payment Service. Currently, when a manifested EPA (Electronic Payment Authorization) is rejected by EPS (Electronic Payment System), the system immediately retries the charge using the MID Owner CRID's default payment method from their Account Management profile. However, this automatic retry should be turned off in two specific cases: first, if the Payer CRID differs from the MID Owner CRID, and second, if EPS rejects the original payment attempt due to suspected fraud, indicated by error code E_TXN0021 with a message like “Invalid Request: Account has been suspended with fraud designation.” This enhancement aims to prevent inappropriate retries under these conditions.</t>
  </si>
  <si>
    <t>Payment Data Expansion for Dispute and Returns - TECH DEBT MAKE NEW ONE FOR D / R</t>
  </si>
  <si>
    <t>This feature is to add new elements to the data feed from Payment to Data and Reporting Services and Enhancement. Currently, Payment does not publish AIC/GLA information for unmanifested returns, manifested returns, ad-hoc adjustments, dispute closeouts, or unmanifested monthly fees. Additionally, Payment has not included the fields for dispute reason and dispute resolution date in dispute closeout messages. Data and Reporting Services has requested that these elements be added to the existing published messages from Payment to improve data completeness and reporting capabilities.
"Notionally scheduling as Tech Debt for R27"</t>
  </si>
  <si>
    <t>Package Transaction Detail Webhook - Datetime format adherence</t>
  </si>
  <si>
    <t>This feature will ensure USPS Ship reporting will supply the datetime values for the earliestScanDate and mailingDate fields in Package Transaction Detail Webhook messages using the ISO 8601 format.</t>
  </si>
  <si>
    <t>Package Transaction Detail Webhook - Ensure basePostage is a required field</t>
  </si>
  <si>
    <t>This feature is to ensure the basePostage field is always present in Package Transaction Detail Webhook messages.</t>
  </si>
  <si>
    <t>Package Transaction Detail Webhook - Include PIC in Messages for Return Packages</t>
  </si>
  <si>
    <t>This enhancement will include PIC for return packages in the Package Transaction Detail webhook messages.</t>
  </si>
  <si>
    <t>Fraud Hierarchy changes</t>
  </si>
  <si>
    <t>This feature is to modify the current hierarchy in the Fraud checks to be more in line with current trends
Given a Fraud check is performed, when an IMpb is scanned the perform the fraud checks in this order
1. IMpb Blacklist
2. STC Whitelist
3. MID Whitelist
4. IMpb Whitelist
5. MID Blacklist
6.  Documentation check</t>
  </si>
  <si>
    <t>R27.0.1.0</t>
  </si>
  <si>
    <t>Fraud New Barcode Status</t>
  </si>
  <si>
    <t>This feature is an enhancement to the existing IMpb Blacklist to create new status' so that Hollingworth (storage/disposal vendor) can handle pieces in certain scenarios in a faster manner.</t>
  </si>
  <si>
    <t>Test Automation - Payment</t>
  </si>
  <si>
    <t>Test Automation Coverage Expansion - Full Coverage for Payment</t>
  </si>
  <si>
    <t>Census logic enhancements (Reduce disputes) - Use trusted scan closest to manifest for weight</t>
  </si>
  <si>
    <t>Reporting (test only), Scan, Verify</t>
  </si>
  <si>
    <t xml:space="preserve">This feature enhances the census verification process by utilizing multiple trusted scans, rather than relying solely on the most trusted scan, to compare against the Manifest. This improvement aims to increase the accuracy and reliability of the verification process by incorporating a broader set of data points. By leveraging multiple trusted scans, the system can more effectively verify and reconcile discrepancies, ultimately leading to a more accurate and trustworthy census. This feature enhances the robustness of the verification process, ensuring higher data integrity and operational efficiency.
</t>
  </si>
  <si>
    <t>R28.0.0.0</t>
  </si>
  <si>
    <t>Zone MDF Alternate Entry</t>
  </si>
  <si>
    <r>
      <rPr>
        <b/>
        <sz val="9"/>
        <color rgb="FFFF0000"/>
        <rFont val="Aptos Narrow"/>
        <family val="2"/>
        <scheme val="minor"/>
      </rPr>
      <t>MUST be May, 2026</t>
    </r>
    <r>
      <rPr>
        <sz val="9"/>
        <color rgb="FF000000"/>
        <rFont val="Aptos Narrow"/>
        <family val="2"/>
        <scheme val="minor"/>
      </rPr>
      <t>. B-971979, B-971980, B-971986, B-971987, B-971988, B-972001, B-972004, B-972008</t>
    </r>
  </si>
  <si>
    <t>Jeff Mitchell??</t>
  </si>
  <si>
    <t>Nonmailable Fee for Pricing - warning message only???</t>
  </si>
  <si>
    <t>Pricing, Data, Reporting, Verify</t>
  </si>
  <si>
    <t>Package Quality Noncompliance (PQN) Exclusions for Barcode Quality (BQ)</t>
  </si>
  <si>
    <t>This enhancement involves implementing exclusions for Barcode Quality checks to improve IMpb compliance. The update will specifically impact the Manifest microservice, ensuring more accurate and reliable barcode quality assessments.</t>
  </si>
  <si>
    <t>Package Quality Noncompliance (PQN) Phase II: Address Corrections and MQ Enhancements (* see #506)</t>
  </si>
  <si>
    <t>This enhancement focuses on addressing compliance gaps related to the Intelligent Mail package barcode (IMpb) by implementing address corrections and enhancements to the manifest quality (MQ) processes. The goal is to ensure that all packages meet IMpb requirements, thereby improving tracking accuracy and operational efficiency. This phase will provide tools and processes to correct address discrepancies and enhance the overall quality of manifest data.
This initiative is crucial for maintaining compliance with IMpb standards and enhancing the reliability of package tracking and delivery processes.</t>
  </si>
  <si>
    <t>Additional Data Fields for Mailings Feed</t>
  </si>
  <si>
    <t>EPS, PostalOne</t>
  </si>
  <si>
    <t>This feature is to enhance the Commercial Mailings and Postage Statement Data Feed by adding additional data elements to the EPS Data feeds.</t>
  </si>
  <si>
    <t>Update File Name Convention to RPW</t>
  </si>
  <si>
    <t>This feature is to update the file name convention to RPW, allowing for the generation and transmission of multiple files to both the EDW and CDAS interfaces.</t>
  </si>
  <si>
    <t>Export Package Quality Noncompliance Report to CSV/Excel</t>
  </si>
  <si>
    <t>This feature is to implement the export functionality for the Package Quality Noncompliance Monthly Assessment Table. It will allow users to export data from the Package Quality Noncompliance Report to a CSV or Excel file, enhancing the reporting capabilities.</t>
  </si>
  <si>
    <t>Mike</t>
  </si>
  <si>
    <t>Remove PQN Error ID from Report</t>
  </si>
  <si>
    <t>This feature is to enhance the PQN Report by removing the Package Quality Noncompliance Error ID.</t>
  </si>
  <si>
    <t>Census Verification Report PIC Display</t>
  </si>
  <si>
    <t>This feature is to update the Census Verification Report by replacing the currently displayed IMpb with the PIC, ensuring the report shows the correct information as intended.</t>
  </si>
  <si>
    <t>Terence S, Phalgun</t>
  </si>
  <si>
    <t>Payment Data Expansion for Dispute and Returns - TECH DEBT</t>
  </si>
  <si>
    <t>Payment portion deployed 5/17: This feature is to add new elements to the data feed from Payment to Data and Reporting Services and Enhancement. Currently, Payment does not publish AIC/GLA information for unmanifested returns, manifested returns, ad-hoc adjustments, dispute closeouts, or unmanifested monthly fees. Additionally, Payment has not included the fields for dispute reason and dispute resolution date in dispute closeout messages. Data and Reporting Services has requested that these elements be added to the existing published messages from Payment to improve data completeness and reporting capabilities.</t>
  </si>
  <si>
    <t>Externalize Dispute Details Report</t>
  </si>
  <si>
    <t>This feature enables mailers to access the Dispute Details Report through the external Ship Report. Additionally, the Case Number field will be removed from the report in both the online view and downloads.</t>
  </si>
  <si>
    <t>Price Change - July 2026</t>
  </si>
  <si>
    <t>Pricing, Verify, Manifest, Data, Reporting, Payment, Account Management, EP</t>
  </si>
  <si>
    <r>
      <t xml:space="preserve">BNS#s below: 
BNS245945 - Change BPM Flats and Parcels Presorted and carrier route structure
BNS 258714 - Adding Prices and Fees to New Addressing API USPS SHIP
BNS263774 - Adding Prices and Fees to New NCOA+ API
BNS 248106 - Nomenclature &amp; Labeling List Updates Expansion to Support Network Redesign
BNS 181856 - Marketing Mail Weight Adjustments and Addition of Heavy Printed Matter
BNS 216124 - Omnibus Price Change
BNS 263097 - Hazmat Handling and Noncompliance Fees  ---  </t>
    </r>
    <r>
      <rPr>
        <b/>
        <sz val="9"/>
        <color theme="1"/>
        <rFont val="Aptos Narrow"/>
        <family val="2"/>
        <scheme val="minor"/>
      </rPr>
      <t>RELEASE 7/12/26 R28.0.1.0</t>
    </r>
    <r>
      <rPr>
        <sz val="9"/>
        <color theme="1"/>
        <rFont val="Aptos Narrow"/>
        <family val="2"/>
        <scheme val="minor"/>
      </rPr>
      <t xml:space="preserve">
BNS 268527 - DIM Divisor &amp; Rounding Rule Changes
BNS 252263 - Package Quality Noncompliance Fee for Market Dominant Mail
BNS 268900 - Package Intercept Pricing Alignment
BNS 181558 - Eliminate ADC Rate Category from Market Dominant Mail Classes - Test Only
BNS 222323 - Add 5D/Direct Container and SCF-Pallet discounts to Marketing Mail Heavy Printed Matter - Test Only
BNS 248502 - Cubic Measurements - Modify Max Length &amp; GA Soft-Packs</t>
    </r>
  </si>
  <si>
    <t>Quadri</t>
  </si>
  <si>
    <t>Data - Update API and Webhook notification response messages</t>
  </si>
  <si>
    <t>This feature will update API and Webhook notification response messages to match YAML spec files</t>
  </si>
  <si>
    <t>R28.0.1.0</t>
  </si>
  <si>
    <t>Claimed Cubic pieces too large for Cubic not getting charged Dim Weight</t>
  </si>
  <si>
    <t xml:space="preserve">This feature will address a current gap in Pricing. Pieces that are claimed Cubic but have dimensions that are too large for cubic are not evaluated for dim weight and are given rate based on actual claimed dim weight.  Gap in acceptance requirement B-724985 from 2023. </t>
  </si>
  <si>
    <t>576-2</t>
  </si>
  <si>
    <t>Price Change - July 2026 [BNS 263097 - Hazmat Handling and Noncompliance Fees; CR pushed to 7/12]</t>
  </si>
  <si>
    <t>Pricing, Verify, Manifest, Data, Reporting, Payment</t>
  </si>
  <si>
    <t>BNS 263097 - Hazmat Handling and Noncompliance Fees; CR pushed to 7/12
This feature is an additional change for BNS 263097 to add a new field for Hazmat Noncompliance Fee Error Message that will be sent from Verify to downstream services and be made available in reporting/data feeds. It will provide further detail to the mailer as to the Hazmat error.</t>
  </si>
  <si>
    <t>Handle unused label refund requests received prior to Manifest ingest (Removing this since dup entry ID# 302 is scheduled for 5/17/26)</t>
  </si>
  <si>
    <t>Mailer Review, Manifest, Verify</t>
  </si>
  <si>
    <t>Duplicate to ID# 302, which is scheduled for 5/17/26; removing this one</t>
  </si>
  <si>
    <t>R31.0.0.0</t>
  </si>
  <si>
    <t>Manifest Validations: Update logic to process packages when the Entry ZIP is blank or populated with all 0s and the Mail Class does not use Zone to price</t>
  </si>
  <si>
    <t>Duplicates Identification: Refining Duplicate PIC Logic (Getting '46' from OPD, any additional exclusions?) -- see ID #360</t>
  </si>
  <si>
    <t>False positives and suppressed data in EDW.
Need more info on what's needed here. Getting data for '46' is part of this.</t>
  </si>
  <si>
    <t>Add all 6 event (2 '07', 2 '10', and 2 '01') datetimes that caused duplicate package identification to the Duplicates Report and Data Feed</t>
  </si>
  <si>
    <t>Data, Reporting, Verify</t>
  </si>
  <si>
    <t>Email "Ship - New fields on Duplicates reports"</t>
  </si>
  <si>
    <t>Scale up for payment and pricing or all of USPS Ship for GDE mailers to include EPS, Reporting and all downstream systems</t>
  </si>
  <si>
    <t>Account Management, App Support, COP, Data, EPS, IV-MTR, Mailer Review, Manifest, Payment, Reporting, Scans, ServiceNow, Tech Arch, Verify</t>
  </si>
  <si>
    <t>USPS Ship unused label process reporting changes</t>
  </si>
  <si>
    <t>eVS: submit group of unused labels for a refund, the whole thing is assigned a refund case # for that whole group, get a resulting report with approved/denied for every label they submitted. 
Directly related to INC000008430239. We need to get the unused label report to display all labels submitted. This may become OBE when INC is fixed.</t>
  </si>
  <si>
    <t>Ability to add a new field to an IV data feed without IV Team intervention</t>
  </si>
  <si>
    <t>In 3/05 meeting, we agreed this may not be the best approach to take - removed as priority #10.</t>
  </si>
  <si>
    <t>Prevent Package Shippers from switching primary account to credit card</t>
  </si>
  <si>
    <t>Not USPS Ship</t>
  </si>
  <si>
    <t>System to auto-generate joint review mail.</t>
  </si>
  <si>
    <t>same as item #65</t>
  </si>
  <si>
    <t>Reporting - Adding PFSC Flag to Transaction Details Report - (Removed, since this is alread on on there via the "Reason Code" being PFS Aggregated)</t>
  </si>
  <si>
    <t>TDR (both report and data feed) already has that in Reason Code</t>
  </si>
  <si>
    <t>Generate Refund Letters (Mailer Review?)- related to ID #44 &amp; #65</t>
  </si>
  <si>
    <t>Removed by Jess on 7/10 with approval from Matt and Lauren - no longer needed</t>
  </si>
  <si>
    <t>Unused Labels Data Feed - add MR dispute ID, transaction ID and fee amount to IV feed - Duplicate of #202</t>
  </si>
  <si>
    <t>Unused Labels - add MR dispute ID, transaction ID and fee amount to IV feed</t>
  </si>
  <si>
    <t>COP - can only enroll a single MID -- removed, not a Ship enhancement</t>
  </si>
  <si>
    <t>PRS Reports - separate outbound and PRS</t>
  </si>
  <si>
    <t>need to finalize requirements for PRS specific report; different from returns</t>
  </si>
  <si>
    <t>PRS Data Feeds</t>
  </si>
  <si>
    <t>Removed on 7/17/26 by Jess after agreement with Matt and no team concerns</t>
  </si>
  <si>
    <t>USPS Returns Data Feeds</t>
  </si>
  <si>
    <t>OBE with ID# 84-89 (APIs / Webhooks for disputes, joint reviews, unused label requests)</t>
  </si>
  <si>
    <t>Add assigned SKU (base SKU) of the package that has had Census (when the package goes through Census display the SKU from the Censused package) - Removed, duplicate of #243</t>
  </si>
  <si>
    <t>Add assigned SKU (base SKU) of the package that has had Census (when the package goes through Census display the SKU from the Censused package)</t>
  </si>
  <si>
    <t>(combined with #128) If a Ship customer manifest MIDs for CRIDs they don't own in the MID system, they will not be charged.  Onboarding should include a check of their MIDs to make sure they are registered to them in the MID system.  Just being linked to the CRID in PR isn't enough</t>
  </si>
  <si>
    <t>MWB 3/8/24: Needs to include NSAs, and needs to include all modules, may be related to item 131</t>
  </si>
  <si>
    <t>Impb Noncompliance Report - Single PIC Search</t>
  </si>
  <si>
    <t>same as another item</t>
  </si>
  <si>
    <t>MID Tool Requirements Request</t>
  </si>
  <si>
    <t>Update requirements so that MID Block requests are not given in sequential order.</t>
  </si>
  <si>
    <t xml:space="preserve">Amazon PPC to EPS Reconciliation (Nic Yabar is producing ad-hoc, manual report) - </t>
  </si>
  <si>
    <t>removed since we're not deploying anything. Data/Reporting is working with Nic for him to build the SQL.</t>
  </si>
  <si>
    <t>Provide shipper files in legacy format - EDI</t>
  </si>
  <si>
    <t>The current version of EDI support probably does not need to be  in the backlog, it is more of a support task at this point.  But support and development are coming out of the same funding this year so it will still need user stories to track the support.  But probably not a raid tracker item</t>
  </si>
  <si>
    <t>Replay / reversal (Removed, as this is a duplicate of ID# 23)</t>
  </si>
  <si>
    <t>See related for reversals #23; When we have an issue (i.e. incorrect contracts) and need to reverse the charges then replay/charge correctly</t>
  </si>
  <si>
    <t>Legacy extract radio buttons (OBE - We are not producing /pse or .rxt)</t>
  </si>
  <si>
    <t>Make Legacy Extract 'Disabled' the default choice in AcctMgmt profile, not able to choose 'Enabled' at this time</t>
  </si>
  <si>
    <t>Update STC descriptions on AcctMgmt profile screen</t>
  </si>
  <si>
    <t>Add package amount to Unmanifested Report (Removed, duplicate of ID #32)</t>
  </si>
  <si>
    <r>
      <rPr>
        <b/>
        <sz val="9"/>
        <rFont val="Aptos Narrow"/>
        <family val="2"/>
        <scheme val="minor"/>
      </rPr>
      <t xml:space="preserve">Census: </t>
    </r>
    <r>
      <rPr>
        <sz val="9"/>
        <rFont val="Aptos Narrow"/>
        <family val="2"/>
        <scheme val="minor"/>
      </rPr>
      <t xml:space="preserve">Add legend to </t>
    </r>
    <r>
      <rPr>
        <b/>
        <sz val="9"/>
        <rFont val="Aptos Narrow"/>
        <family val="2"/>
        <scheme val="minor"/>
      </rPr>
      <t>Census Verification Report</t>
    </r>
    <r>
      <rPr>
        <sz val="9"/>
        <rFont val="Aptos Narrow"/>
        <family val="2"/>
        <scheme val="minor"/>
      </rPr>
      <t xml:space="preserve"> for Fees</t>
    </r>
  </si>
  <si>
    <t>Hover over the fee header with a description of what that fee is for. For example, eVS uses the following legend for their Sampled Incorrect Packaging Report: CODE FEE: A. Nonstandard Length (&gt;22 in and &lt;=30in), B. Nonstandard Length (&gt;30in), C. Nonstandard Cubic Volume (&gt;2 cu. ft), etc. 
Not sure what other services might need to contribute</t>
  </si>
  <si>
    <t>New Ship Report for Manifest Auto-corrections</t>
  </si>
  <si>
    <t>Removed on 7/17/26 by Jess after agreement with Matt and no team concerns Need BNS/CR.  Request from Matt J is to have 1 report with 2 tabs - one each for rejections and auto-corrections. Reject report tab is the priority. These 2 tabs don't necessarily need to be deployed a the same time, we can do the rejections first, then the auto-corrections.</t>
  </si>
  <si>
    <t>SLA Phase 1 - Custom Metrics to measure Throughput (Manifest, PEW, Pricing) - Removed as dup to ID #230</t>
  </si>
  <si>
    <t>Monitoring (New), Manifest, PEW, Pricing, Payment</t>
  </si>
  <si>
    <t xml:space="preserve">Manifest-PEW-Payment and Manifest-Pricing-Payment paths (doesn't include Payment ingest, etc.)
Manifest Ingest to Payment </t>
  </si>
  <si>
    <t>SLA Phase 1 - Custom Metrics to measure Throughput (Fraud Service) - Removed as dup to ID #230</t>
  </si>
  <si>
    <t>Monitoring (New), Manifest, Fraud</t>
  </si>
  <si>
    <t>Xray blockers (SVM)</t>
  </si>
  <si>
    <t>Ability to handle full eVS volume</t>
  </si>
  <si>
    <t>Amazon.com wants to move to pilot ASAP; We need to ensure EPA can also handle prod volume</t>
  </si>
  <si>
    <t>USPS Ship Reports - Monthly activity report (Qlik) can be 'retired' , this can be done with a change in the config maps and can be changed with an approved CR</t>
  </si>
  <si>
    <t>OBE - Business wants to keep this report</t>
  </si>
  <si>
    <t>Download data column width</t>
  </si>
  <si>
    <t>When data is downloaded from a table on the Reports pages, make the column width in the csv/excel download be the length of the imported data so the columns do not have to be adjusted manually.</t>
  </si>
  <si>
    <t>Update Domestic Outbound count query.</t>
  </si>
  <si>
    <t>The wrapper count query in IV package code has an else condition that causes DO count query to get count from eps_transaction while the main query has the condition on eps_network_return_det for date_created. We will need to fix the count query for DO feed so it matches with the main query. This is causing the status to be updated as "NO_RECORDS_FOUND" even though the main query fetches data.</t>
  </si>
  <si>
    <t>BNS167580 (PC) - Four new IMpb data feeds through IV-MTR, including Returns (IV-MTR tentatively 6/01/24)</t>
  </si>
  <si>
    <t>Also need IV-MTR changes</t>
  </si>
  <si>
    <t>BNS153731 (PC) - Expansion of Premium Forwarding Service Local</t>
  </si>
  <si>
    <t xml:space="preserve">May have a ROM - Josh will check </t>
  </si>
  <si>
    <t>BNS155342 (PC) - Expand Domestic Competitive Shipping Products Zone Chart</t>
  </si>
  <si>
    <t>Indefinitely postponed</t>
  </si>
  <si>
    <t>BNS164156 (PC) - GA Retail Oversized and Dimensional</t>
  </si>
  <si>
    <t>No impact for Ship</t>
  </si>
  <si>
    <t>Reporting Help Links Updates</t>
  </si>
  <si>
    <t>Data that is currently sent to CDM needs to be sent to UAP over Kafka in 'real time'</t>
  </si>
  <si>
    <t>Data Feed - Accounts Payable Service (APS)</t>
  </si>
  <si>
    <t>Removed - no longer needed      Allow data to flow from APS - IVMTR dependency</t>
  </si>
  <si>
    <t>TPB "Third Party Billing" - Bulk authorization (Pete Starvaski)</t>
  </si>
  <si>
    <t>This might be all COP, not USPS Ship</t>
  </si>
  <si>
    <t>Vision for sunsetting/retiring webtools</t>
  </si>
  <si>
    <t>Manifest Summary report - Package Variance column needs to be added back on the report with correct calculations to compute package variance</t>
  </si>
  <si>
    <t>(Removed since being combined into ID# 128) USPS Ship manifest record where the D1 MID isn’t enrolled in Ship Live doesn’t get charged in Ship (also is not identified as unmanifested). This is because on eVS they process a manifest file if the EFN MID is enrolled in eVS, and charges all packages in the manifest to that EFN MID; Ship processes and charges by the D1 MID. </t>
  </si>
  <si>
    <t xml:space="preserve">Header EFN doesn't matter for Ship - currently skip D1 MID. Can Ship look at the H1 MID, and if it is not eVS we need to charge for every D1. If the D1 MID is Ship, we follow the regular process. If not, do we look at permit or fall back on H1 MID. The H1 is responsible for payment at the end of the day... see item 128 - may be related and solution might be the same. </t>
  </si>
  <si>
    <r>
      <t>Include Pilot transactions in '</t>
    </r>
    <r>
      <rPr>
        <b/>
        <sz val="9"/>
        <rFont val="Aptos Narrow"/>
        <family val="2"/>
        <scheme val="minor"/>
      </rPr>
      <t>Details - Domestic Outbound' data feed</t>
    </r>
    <r>
      <rPr>
        <sz val="9"/>
        <rFont val="Aptos Narrow"/>
        <family val="2"/>
        <scheme val="minor"/>
      </rPr>
      <t xml:space="preserve"> through IV-MTR</t>
    </r>
  </si>
  <si>
    <t>Include Pilot transactions in 'Details - Domestic Outbound' data fees through IV-MTR</t>
  </si>
  <si>
    <t>Rename the existing “First Class Mail Refund Amount” field to “USPS Ground Advantage Refund Amount”</t>
  </si>
  <si>
    <t>Matt and Data team confirmed removing on 5/12 in email RE: Reducing Disputes RAID Items</t>
  </si>
  <si>
    <t>Correct CRID / MID data between ProgReg and MID tool</t>
  </si>
  <si>
    <t>Nothing for Ship to do at this time (if Ship Profile ends up in EMAS, Ship will have work to do.) Ship may have additional work to perform depending on what is decided with the data validation between CRID/MID and ProgReg.</t>
  </si>
  <si>
    <t>Fraud - Auto-on/off payment check based on health checks for other USPS applications</t>
  </si>
  <si>
    <t>Integration with upstream apps like PTR Manifest Broker, EMAS, etc. so that if they have an issue/delay, the payment check is temporarily turned off and then back on once issue is resolved</t>
  </si>
  <si>
    <t>Include TPB (Third Party Billing) Name and CRID on Transaction Details Report - OBE by ID #25</t>
  </si>
  <si>
    <t>Fraud - Identify when an API call is a final intercept check</t>
  </si>
  <si>
    <t>OBE. A separate API was developed for the final check</t>
  </si>
  <si>
    <t>Fraud - Update health check to include 2 configs, one for initial fraud check and a second for the payment check.</t>
  </si>
  <si>
    <t>Duplicate of ID 193</t>
  </si>
  <si>
    <t>SLA Phase 1 - Custom Metrics to measure Throughput (Data Feeds) - Removed as dup to ID #230</t>
  </si>
  <si>
    <t>Monitoring (New), Manifest, PEW, Pricing, Payment, Data, Reporting</t>
  </si>
  <si>
    <t>Add ACH Withdrawal ID to Unused Labels Data Feed - removed since it's a duplicate of #202</t>
  </si>
  <si>
    <t>Add ACH Withdrawal ID to Unmanifested Packages Data Feed - duplicate ID #195</t>
  </si>
  <si>
    <r>
      <t xml:space="preserve">Add 'Only include transactions with an ACH Withdrawal ID' to </t>
    </r>
    <r>
      <rPr>
        <b/>
        <sz val="9"/>
        <rFont val="Aptos Narrow"/>
        <family val="2"/>
        <scheme val="minor"/>
      </rPr>
      <t>Census Attributes Data Feed</t>
    </r>
    <r>
      <rPr>
        <sz val="9"/>
        <rFont val="Aptos Narrow"/>
        <family val="2"/>
        <scheme val="minor"/>
      </rPr>
      <t xml:space="preserve"> - removed, duplicate of #201</t>
    </r>
  </si>
  <si>
    <t>SLA Phase 1 - Custom Metrics to measure Throughput (Online Reports) - Removed as dup to ID #230</t>
  </si>
  <si>
    <t>Same as #252 - Support for extra services in Letter/Flats API</t>
  </si>
  <si>
    <t>EP</t>
  </si>
  <si>
    <t>Auctane request to add extra services as part of API request for Letters/Flats to allow ability to return Certified Mail Letter rate. Identified as a blocking issue for them.</t>
  </si>
  <si>
    <r>
      <rPr>
        <b/>
        <sz val="9"/>
        <rFont val="Aptos Narrow"/>
        <family val="2"/>
        <scheme val="minor"/>
      </rPr>
      <t>Census:</t>
    </r>
    <r>
      <rPr>
        <sz val="9"/>
        <rFont val="Aptos Narrow"/>
        <family val="2"/>
        <scheme val="minor"/>
      </rPr>
      <t xml:space="preserve"> PMOD Census Misshipped</t>
    </r>
  </si>
  <si>
    <t>Duplicate of ID 329</t>
  </si>
  <si>
    <r>
      <t xml:space="preserve">Fees for Burial Flags </t>
    </r>
    <r>
      <rPr>
        <sz val="9"/>
        <color rgb="FFFF0000"/>
        <rFont val="Aptos Narrow"/>
        <family val="2"/>
        <scheme val="minor"/>
      </rPr>
      <t>[Removed as a duplicate for 547]</t>
    </r>
  </si>
  <si>
    <r>
      <rPr>
        <sz val="9"/>
        <color rgb="FFFF0000"/>
        <rFont val="Aptos Narrow"/>
        <family val="2"/>
        <scheme val="minor"/>
      </rPr>
      <t>[Removed as a duplicate for 547]</t>
    </r>
    <r>
      <rPr>
        <sz val="9"/>
        <color theme="1"/>
        <rFont val="Aptos Narrow"/>
        <family val="2"/>
        <scheme val="minor"/>
      </rPr>
      <t xml:space="preserve"> Affects one mailer - ship requirements are more robust than eVS. Could have a "short term" fix until this long term is </t>
    </r>
  </si>
  <si>
    <t>SLA Phase 1 - Custom Metrics to measure Throughput (Payment) - Removed as dup to ID #230</t>
  </si>
  <si>
    <t>Reporting - Change Role for Dropping Unmanifested/Duplicates - Only allow Managers and Analyst (Not HQ/Int.Dev/Field/Prep/HD)</t>
  </si>
  <si>
    <t xml:space="preserve">B-921306 </t>
  </si>
  <si>
    <t>Shopify Rate Subscription (Direct Integration)</t>
  </si>
  <si>
    <t>Still Needed??</t>
  </si>
  <si>
    <t>Shopify Rate File (Direct Integration)</t>
  </si>
  <si>
    <t>IS THIS NEEDED???</t>
  </si>
  <si>
    <t>Stop publishing packages with census postage deltas under the threshold to the nonpayment topic, regardless of live/pilot status</t>
  </si>
  <si>
    <t>Payment, Reporting, Verify</t>
  </si>
  <si>
    <t>See email chain "Census Transactions (Pilot) on packages with postage less than the threshold" B-983127</t>
  </si>
  <si>
    <t>Data - Rename Variance Report Data Feed to Manifest Variance Data Feed</t>
  </si>
  <si>
    <t>B-934349</t>
  </si>
  <si>
    <t>Letters and flats - Refund data feed through IV-MTR</t>
  </si>
  <si>
    <t>B-946261- Data needs to be consumed by Data Services and then provided to the shipper through IV-MTR</t>
  </si>
  <si>
    <t>Variance Report - Show the manifested postage + fees + ESC postage compared to what USPS calculated regardless of autocorrections.</t>
  </si>
  <si>
    <t>Manifest, Verify, Pricing, Reporting(?)</t>
  </si>
  <si>
    <t>Need to confirm specifics on which services have impacts. REMOVING - duplicate is 392</t>
  </si>
  <si>
    <t xml:space="preserve">SAME AS ID 271: Census/Duplicates/Unmanifested data through an API call that the Shippers can invoke from API gateway. </t>
  </si>
  <si>
    <t>Add Permit number to the transaction details report and the data feed</t>
  </si>
  <si>
    <t>Add Permit number to the transaction details report and the data feed (Complete for Report and Data Feed</t>
  </si>
  <si>
    <r>
      <rPr>
        <b/>
        <sz val="9"/>
        <color rgb="FF000000"/>
        <rFont val="Aptos Narrow"/>
        <family val="2"/>
        <scheme val="minor"/>
      </rPr>
      <t>Duplicate Data Feed</t>
    </r>
    <r>
      <rPr>
        <sz val="9"/>
        <color rgb="FF000000"/>
        <rFont val="Aptos Narrow"/>
        <family val="2"/>
        <scheme val="minor"/>
      </rPr>
      <t xml:space="preserve"> and </t>
    </r>
    <r>
      <rPr>
        <b/>
        <sz val="9"/>
        <color rgb="FF000000"/>
        <rFont val="Aptos Narrow"/>
        <family val="2"/>
        <scheme val="minor"/>
      </rPr>
      <t>Unmanifested Data Feed</t>
    </r>
    <r>
      <rPr>
        <sz val="9"/>
        <color rgb="FF000000"/>
        <rFont val="Aptos Narrow"/>
        <family val="2"/>
        <scheme val="minor"/>
      </rPr>
      <t xml:space="preserve"> need to have projected assessment date and the logic for first scan date needs to be revisited</t>
    </r>
  </si>
  <si>
    <t>B-972057, B-972058 Data feeds (Duplicates &amp; Unmanifested ) need to have projected assessment date and the logic for first scan date needs to be revisited</t>
  </si>
  <si>
    <t>Misshipped Sunday/Soft Holiday Exclusion</t>
  </si>
  <si>
    <t>Needed for Amazon migration; Requested by CIO for 6/29</t>
  </si>
  <si>
    <r>
      <rPr>
        <b/>
        <sz val="9"/>
        <color theme="1"/>
        <rFont val="Aptos Narrow"/>
        <family val="2"/>
        <scheme val="minor"/>
      </rPr>
      <t>Manifest Variance Report</t>
    </r>
    <r>
      <rPr>
        <sz val="9"/>
        <color theme="1"/>
        <rFont val="Aptos Narrow"/>
        <family val="2"/>
        <scheme val="minor"/>
      </rPr>
      <t xml:space="preserve"> - Manifest Extra Service postage shows on Variance Report with incorrect values</t>
    </r>
  </si>
  <si>
    <t>Manifest, Reporting</t>
  </si>
  <si>
    <t>Removed on 7/17/26 by Jess after agreement with Matt and no team concerns See email titled "SVM - need correct Manifest Extra Service postage sent to Reporting/Data Services"</t>
  </si>
  <si>
    <t>Fraud Unmanifested API - duplicate of 408 - REMOVING</t>
  </si>
  <si>
    <t>Verify, MR</t>
  </si>
  <si>
    <t>Zone 1 Pricing for ISC Entry (for Amazon)</t>
  </si>
  <si>
    <t>According to Bryan Whitmore on 1/30/26 " As far as I know that is still something we need.  Amazon is still working to update their manifest"   - amazon did this instead of us
Is there a path to amazon fixing themselves (submit singular permit)</t>
  </si>
  <si>
    <t>Duplicate Logic for EFN</t>
  </si>
  <si>
    <t>(EEG) Removed 5/19/26 since none of us can remember what this is for</t>
  </si>
  <si>
    <t>Marcus</t>
  </si>
  <si>
    <t>Manifest Search to show only Manifest Records and Exclude Refund/Reject</t>
  </si>
  <si>
    <t>Data Census Label Changes</t>
  </si>
  <si>
    <t>Removed, as no one knows what this is.</t>
  </si>
  <si>
    <t>Reporting Census Label Changes</t>
  </si>
  <si>
    <t>‘Average Postage’ on the Monthly Account Summary (both internal and external). duplicate to 466</t>
  </si>
  <si>
    <t>Aggregate Transaction Reporting for Overridden Monthly Adjustments (Removed - duplicate of #619)</t>
  </si>
  <si>
    <t>Aggregate Transaction Reporting for Overridden Monthly Adjustments Requirements.docx</t>
  </si>
  <si>
    <t>Update LF Manifest to filter CNS Manifests</t>
  </si>
  <si>
    <t>L&amp;F</t>
  </si>
  <si>
    <t xml:space="preserve">Labels received for Letters and Flats Service with  account number set to "CNS" will be ignored.
 </t>
  </si>
  <si>
    <t>Request for Additional events in Duplicate report similar to EVS (Scan/Verify/Reporting (ID #201 from the RAID tracker)</t>
  </si>
  <si>
    <t>Generate PRS Unmanifested Warnings</t>
  </si>
  <si>
    <t>Needed for PRS migration</t>
  </si>
  <si>
    <t>Fraud - Support RSS POST Request</t>
  </si>
  <si>
    <t>Removed - duplicate of 459</t>
  </si>
  <si>
    <t>Data - IV-MTR Census Attribute data feed changes - duplicate to 382</t>
  </si>
  <si>
    <r>
      <t xml:space="preserve">NetStamps Refund Automation  </t>
    </r>
    <r>
      <rPr>
        <sz val="9"/>
        <color rgb="FFFF0000"/>
        <rFont val="Aptos Narrow"/>
        <family val="2"/>
        <scheme val="minor"/>
      </rPr>
      <t>DUPLICATE OF 490</t>
    </r>
  </si>
  <si>
    <t>Data, Mailer Review, Manifest, Payment, Reporting</t>
  </si>
  <si>
    <t>This enhancement introduces an automated refund process for USPS's NetStamps, allowing mailers to cancel letter/flat postage printed without an IMb (NetStamps) via a new endpoint. Refund requests must be made within 30 days and are automatically granted up to a preset percentage. Requests exceeding this threshold will require manual review with additional documentation. Changes impact USPS Ship's Manifest/Mailer Review, Payment, Reporting, and Data microservices, as well as integrations with EMAS and Salesforce.
USPS will support an indicia cancel endpoint for letter/flat postage printed without an IMb (aka Netstamps).  Refunds must be requested within 30 days.  Refunds will be automatically granted up to a preset % of postage purchased.  Once the automated refund threshold is exceeded,  additional refund requests may be submitted via endpoint but will be manually reviewed in bulk by USPS and require additional documentation to prove that the postage was not used in mailing.  
EMAS:
•	External:
o	Expose new endpoint for Mailers to request refunds/cancelations on Netstamps
•	Interface to Ship:
o	Add Netstamps package level identifier to existing message for payment of original indicia request
o	“ “ for refund request API call.
USPS Ship:
•	Manifest/MR:
o	Begin tracking monthly postage by mailer.
o	If a refund request is received for a mailer and they have not requested over particular percentage in the month process the refund
o	If the mailer has already crossed the threshold for refunds send the request and any subsequent requests to Salesforce to open a dispute ticket.
•	Payment Service 
o	Would likely need to make updates to ensure the label in question was already paid for before approving the refund request. @Avellanet, Jeffrey D - Arlington, VA - Contractor
•	Data/Reporting: 
o	Provide Status of Unused Label Requests through existing webhook
Salesforce:
•	Open Dispute for the mailer tracking Unused Label requests through end of the month
•	Allow for review by APV Helpdesk
•	Provide Closeout back to USPS Ship to process or deny refund requests</t>
  </si>
  <si>
    <t>Reporting Service : Transaction Detail report to render data from Redshift instead of Oracle - Regression  - DELETE Duplicate 491</t>
  </si>
  <si>
    <t>B-1004439  This will imporoved Performance on the TDR</t>
  </si>
  <si>
    <t>Dup of #22 Reporting Service - Dropping packages on Unmanifested and duplicates reports need to have a select all button for the records loaded so that users do not have to pick one package at a time</t>
  </si>
  <si>
    <t>Reporting Service - Dropping packages on Unmanifested and duplicates reports need to have a select all button for the records loaded so that users do not have to pick one package at a time</t>
  </si>
  <si>
    <t>Last Mile Delivery (aka Bid Solicitation or Auction Pricing)</t>
  </si>
  <si>
    <t>CIO request, discussion came up 10/16/25. Rapid timeline expected. Unclear if other teams would be impacted</t>
  </si>
  <si>
    <t>Asynchronous Kafka Interface for Unused Labels (directly related to #595)</t>
  </si>
  <si>
    <t>Mailer Review, EMAS</t>
  </si>
  <si>
    <t>This feature is to add a new Kafka interface for Unused Label submissions from EMAS, enabling asynchronous communication for these submissions.</t>
  </si>
  <si>
    <t>Adjust Webhook Subscription Report Frequency Duplicate of 585 - Complete with R26</t>
  </si>
  <si>
    <t>This feature is to introduce a new webpage in Adhoc Reports that allows users to adjust the report frequency for a specific Webhook subscription ID.</t>
  </si>
  <si>
    <t>Support for Certified Priority Mail in EP</t>
  </si>
  <si>
    <t>Enterprise Pricing, Letters and Flats, Payment</t>
  </si>
  <si>
    <t>Bryan Whitmore for any questions. This feature is to update the EP Letters/Flats to support Certified Priority Mail, enhancing the Priority Mail support in the Letters/Flats EP endpoint.</t>
  </si>
  <si>
    <t>Turned into a CI:  Update Unused Label Fee Calculation - Dup of 634</t>
  </si>
  <si>
    <t>This feature is to update the calculation of the unused label fee to utilize the D8 Payer Crid when it is available.</t>
  </si>
  <si>
    <t>Turned into a CI:  Update Refund Logic Using Payer Crid - Dup of 621</t>
  </si>
  <si>
    <t>Manifest, Payment, Pricing, Verify, Mailer Review</t>
  </si>
  <si>
    <t>This feature is to update the pricing refund logic so that when a D8 record is present, the system uses the Payer Crid for refund calculations. This enhancement ensures that the refund process checks for a D8 record and applies the Payer Crid accordingly. The main idea is that the Manifest, Verify, and Payment processes are probably affected only during end-to-end (e2e) testing.</t>
  </si>
  <si>
    <t>Label Provider Details to SAL/UAP</t>
  </si>
  <si>
    <t>This feature is to provide Label Provider details from D8 (Role 7) to SAL/UAP as an enhancement.</t>
  </si>
  <si>
    <t>Charge Monthly Assessments to Payer CRID</t>
  </si>
  <si>
    <t>Payment, Pricing, Reporting, Verify</t>
  </si>
  <si>
    <t>[Combined with ID#661] This feature will change the process for charging customers. Currently, Ship monthly assessments always charges the label owner. With this change, the payer from the manifest will always be charged, when available. If there is no manifest, Ship will continue charging the label owner.
Email Chain: "Re: URGENT: Shippo major issues with USPS Ship - assessments charged to Shippo customers, not Shippo"</t>
  </si>
  <si>
    <t>Reporting service to use payer_crid to summarize data</t>
  </si>
  <si>
    <t>Reporting, COP, EMAS</t>
  </si>
  <si>
    <t xml:space="preserve">This feature enhances reporting services by consistently using the payer_crid from the manifest block to group and summarize data in reports. When the payment service creates a transaction for a manifested package and pushes payment data to the Reporting Service, the system will utilize the payer_crid from the manifest records to ensure accurate and consistent data aggregation across reports. </t>
  </si>
  <si>
    <t>Removed/Combined with ID 697 - Begin Charging Nonmailable Object Fee</t>
  </si>
  <si>
    <t>Removed/Combined with ID 697 - For R28, this feature will update pricing service to generate assessed warnings (109 and 110) for packages exceeding size/weight restrictions (RAID ID455).  This follow-on work will begin charging a Nonmailable Object Fee.</t>
  </si>
  <si>
    <t>Build a front end GUI for ERR/EP so that shippers can access their rates (NSA or commercial)</t>
  </si>
  <si>
    <t>Data, Reporting, Pricing, CDAO, IVMTR</t>
  </si>
  <si>
    <t>Removed from Eli: "Per Clint's request, this should live in Pano, not ERR/EP. The reason is that he doesn't want his folks using 2 different GUI/apps and they already are used to using Pano for other things. So this is now Devin's, not ours." This feature will build a front end GUI for ERR and Enterprise Pricing (EP) so that shippers can access their rates (NSA or commercial).</t>
  </si>
  <si>
    <t>Eli G</t>
  </si>
  <si>
    <t>Fraud Service integration with EMS - duplicate of 696</t>
  </si>
  <si>
    <t>Fraud, 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</si>
</sst>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43" formatCode="_(* #,##0.00_);_(* \(#,##0.00\);_(* &quot;-&quot;??_);_(@_)"/>
    <numFmt numFmtId="164" formatCode="m/d/yy;@"/>
    <numFmt numFmtId="165" formatCode="_(* #,##0_);_(* \(#,##0\);_(* &quot;-&quot;??_);_(@_)"/>
    <numFmt numFmtId="166" formatCode="m/d;@"/>
    <numFmt numFmtId="167" formatCode="_(&quot;$&quot;* #,##0_);_(&quot;$&quot;* \(#,##0\);_(&quot;$&quot;* &quot;-&quot;??_);_(@_)"/>
  </numFmts>
  <fonts count="28" x14ac:knownFonts="1">
    <font>
      <sz val="11"/>
      <color theme="1"/>
      <name val="Aptos Narrow"/>
      <family val="2"/>
      <scheme val="minor"/>
    </font>
    <font>
      <sz val="11"/>
      <color theme="1"/>
      <name val="Aptos Narrow"/>
      <family val="2"/>
      <scheme val="minor"/>
    </font>
    <font>
      <sz val="9"/>
      <color theme="1"/>
      <name val="Aptos Narrow"/>
      <family val="2"/>
      <scheme val="minor"/>
    </font>
    <font>
      <sz val="9"/>
      <color rgb="FFFF0000"/>
      <name val="Aptos Narrow"/>
      <family val="2"/>
      <scheme val="minor"/>
    </font>
    <font>
      <b/>
      <sz val="9"/>
      <color theme="1"/>
      <name val="Aptos Narrow"/>
      <family val="2"/>
      <scheme val="minor"/>
    </font>
    <font>
      <sz val="9"/>
      <color theme="1"/>
      <name val="Aptos Narrow"/>
      <scheme val="minor"/>
    </font>
    <font>
      <b/>
      <sz val="9"/>
      <color rgb="FFFF0000"/>
      <name val="Aptos Narrow"/>
      <family val="2"/>
      <scheme val="minor"/>
    </font>
    <font>
      <sz val="9"/>
      <color rgb="FF000000"/>
      <name val="Aptos Narrow"/>
      <family val="2"/>
      <scheme val="minor"/>
    </font>
    <font>
      <sz val="9"/>
      <color theme="0" tint="-0.249977111117893"/>
      <name val="Aptos Narrow"/>
      <family val="2"/>
      <scheme val="minor"/>
    </font>
    <font>
      <sz val="9"/>
      <name val="Aptos Narrow"/>
      <family val="2"/>
      <scheme val="minor"/>
    </font>
    <font>
      <b/>
      <sz val="9"/>
      <color rgb="FF000000"/>
      <name val="Aptos Narrow"/>
      <family val="2"/>
      <scheme val="minor"/>
    </font>
    <font>
      <sz val="9"/>
      <color rgb="FFFF0000"/>
      <name val="Aptos Narrow"/>
      <scheme val="minor"/>
    </font>
    <font>
      <sz val="9"/>
      <name val="Aptos Narrow"/>
      <scheme val="minor"/>
    </font>
    <font>
      <b/>
      <sz val="9"/>
      <name val="Aptos Narrow"/>
      <family val="2"/>
      <scheme val="minor"/>
    </font>
    <font>
      <sz val="9"/>
      <color theme="0" tint="-0.34998626667073579"/>
      <name val="Aptos Narrow"/>
      <family val="2"/>
      <scheme val="minor"/>
    </font>
    <font>
      <b/>
      <sz val="9"/>
      <color rgb="FF7030A0"/>
      <name val="Aptos Narrow"/>
      <family val="2"/>
      <scheme val="minor"/>
    </font>
    <font>
      <b/>
      <sz val="9"/>
      <color rgb="FF000000"/>
      <name val="Aptos Narrow"/>
      <scheme val="minor"/>
    </font>
    <font>
      <sz val="9"/>
      <color rgb="FF000000"/>
      <name val="Aptos Narrow"/>
      <scheme val="minor"/>
    </font>
    <font>
      <sz val="9"/>
      <color theme="5" tint="-0.249977111117893"/>
      <name val="Aptos Narrow"/>
      <family val="2"/>
      <scheme val="minor"/>
    </font>
    <font>
      <sz val="9"/>
      <color rgb="FF242424"/>
      <name val="Aptos Narrow"/>
      <family val="2"/>
      <scheme val="minor"/>
    </font>
    <font>
      <i/>
      <sz val="9"/>
      <name val="Aptos Narrow"/>
      <family val="2"/>
      <scheme val="minor"/>
    </font>
    <font>
      <u/>
      <sz val="9"/>
      <name val="Aptos Narrow"/>
      <family val="2"/>
      <scheme val="minor"/>
    </font>
    <font>
      <sz val="9"/>
      <color rgb="FF218748"/>
      <name val="Aptos Narrow"/>
      <family val="2"/>
      <scheme val="minor"/>
    </font>
    <font>
      <i/>
      <sz val="9"/>
      <color theme="1"/>
      <name val="Aptos Narrow"/>
      <family val="2"/>
      <scheme val="minor"/>
    </font>
    <font>
      <b/>
      <sz val="9"/>
      <color theme="1"/>
      <name val="Aptos Narrow"/>
      <scheme val="minor"/>
    </font>
    <font>
      <b/>
      <sz val="9"/>
      <color indexed="81"/>
      <name val="Tahoma"/>
      <family val="2"/>
    </font>
    <font>
      <sz val="9"/>
      <color indexed="81"/>
      <name val="Tahoma"/>
      <family val="2"/>
    </font>
    <font>
      <sz val="9"/>
      <color indexed="81"/>
      <name val="Tahoma"/>
      <charset val="1"/>
    </font>
  </fonts>
  <fills count="11">
    <fill>
      <patternFill patternType="none"/>
    </fill>
    <fill>
      <patternFill patternType="gray125"/>
    </fill>
    <fill>
      <patternFill patternType="solid">
        <fgColor theme="4" tint="0.39997558519241921"/>
        <bgColor indexed="64"/>
      </patternFill>
    </fill>
    <fill>
      <patternFill patternType="solid">
        <fgColor rgb="FFFFCCCC"/>
        <bgColor indexed="64"/>
      </patternFill>
    </fill>
    <fill>
      <patternFill patternType="solid">
        <fgColor rgb="FF00B0F0"/>
        <bgColor indexed="64"/>
      </patternFill>
    </fill>
    <fill>
      <patternFill patternType="solid">
        <fgColor rgb="FFFFCDCD"/>
        <bgColor indexed="64"/>
      </patternFill>
    </fill>
    <fill>
      <patternFill patternType="solid">
        <fgColor rgb="FFFFFF00"/>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rgb="FFFF9B9B"/>
        <bgColor indexed="64"/>
      </patternFill>
    </fill>
    <fill>
      <patternFill patternType="solid">
        <fgColor theme="0" tint="-0.249977111117893"/>
        <bgColor indexed="64"/>
      </patternFill>
    </fill>
  </fills>
  <borders count="1">
    <border>
      <left/>
      <right/>
      <top/>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246">
    <xf numFmtId="0" fontId="0" fillId="0" borderId="0" xfId="0"/>
    <xf numFmtId="1" fontId="2" fillId="2" borderId="0" xfId="0" applyNumberFormat="1" applyFont="1" applyFill="1" applyAlignment="1">
      <alignment horizontal="center" vertical="center" wrapText="1"/>
    </xf>
    <xf numFmtId="0" fontId="2" fillId="2" borderId="0" xfId="0" applyFont="1" applyFill="1" applyAlignment="1">
      <alignment horizontal="center" vertical="center" wrapText="1"/>
    </xf>
    <xf numFmtId="164" fontId="2" fillId="2" borderId="0" xfId="0" applyNumberFormat="1" applyFont="1" applyFill="1" applyAlignment="1">
      <alignment horizontal="center" vertical="center" wrapText="1"/>
    </xf>
    <xf numFmtId="165" fontId="2" fillId="2" borderId="0" xfId="1" applyNumberFormat="1" applyFont="1" applyFill="1" applyAlignment="1">
      <alignment horizontal="center" vertical="center" wrapText="1"/>
    </xf>
    <xf numFmtId="0" fontId="2" fillId="2" borderId="0" xfId="0" applyFont="1" applyFill="1" applyAlignment="1">
      <alignment horizontal="center" vertical="center"/>
    </xf>
    <xf numFmtId="164" fontId="2" fillId="2" borderId="0" xfId="0" applyNumberFormat="1" applyFont="1" applyFill="1" applyAlignment="1">
      <alignment horizontal="right" vertical="center" wrapText="1"/>
    </xf>
    <xf numFmtId="14" fontId="2" fillId="2" borderId="0" xfId="0" applyNumberFormat="1" applyFont="1" applyFill="1" applyAlignment="1">
      <alignment horizontal="center" vertical="center" wrapText="1"/>
    </xf>
    <xf numFmtId="0" fontId="2" fillId="0" borderId="0" xfId="0" applyFont="1" applyAlignment="1">
      <alignment vertical="center" wrapText="1"/>
    </xf>
    <xf numFmtId="0" fontId="2" fillId="0" borderId="0" xfId="0" applyFont="1"/>
    <xf numFmtId="0" fontId="2" fillId="0" borderId="0" xfId="0" applyFont="1" applyAlignment="1">
      <alignment vertical="center"/>
    </xf>
    <xf numFmtId="1" fontId="2" fillId="0" borderId="0" xfId="3" applyNumberFormat="1" applyFont="1" applyFill="1" applyBorder="1" applyAlignment="1">
      <alignment horizontal="center" vertical="top"/>
    </xf>
    <xf numFmtId="1" fontId="2" fillId="0" borderId="0" xfId="3" applyNumberFormat="1" applyFont="1" applyAlignment="1">
      <alignment horizontal="center" vertical="top"/>
    </xf>
    <xf numFmtId="166" fontId="2" fillId="0" borderId="0" xfId="0" applyNumberFormat="1" applyFont="1" applyAlignment="1">
      <alignment vertical="top"/>
    </xf>
    <xf numFmtId="9" fontId="2" fillId="0" borderId="0" xfId="3" applyFont="1" applyBorder="1" applyAlignment="1">
      <alignment horizontal="left" vertical="top"/>
    </xf>
    <xf numFmtId="9" fontId="2" fillId="0" borderId="0" xfId="3" applyFont="1" applyFill="1" applyBorder="1" applyAlignment="1">
      <alignment vertical="top"/>
    </xf>
    <xf numFmtId="167" fontId="2" fillId="0" borderId="0" xfId="2" applyNumberFormat="1" applyFont="1" applyAlignment="1">
      <alignment horizontal="left" vertical="top"/>
    </xf>
    <xf numFmtId="0" fontId="2" fillId="0" borderId="0" xfId="0" applyFont="1" applyAlignment="1">
      <alignment horizontal="center" vertical="top"/>
    </xf>
    <xf numFmtId="164" fontId="3" fillId="3" borderId="0" xfId="0" applyNumberFormat="1" applyFont="1" applyFill="1" applyAlignment="1">
      <alignment horizontal="center" vertical="top"/>
    </xf>
    <xf numFmtId="165" fontId="2" fillId="0" borderId="0" xfId="1" applyNumberFormat="1" applyFont="1" applyAlignment="1">
      <alignment horizontal="center" vertical="top"/>
    </xf>
    <xf numFmtId="9" fontId="2" fillId="0" borderId="0" xfId="3" applyFont="1" applyAlignment="1">
      <alignment vertical="top"/>
    </xf>
    <xf numFmtId="164" fontId="4" fillId="0" borderId="0" xfId="0" applyNumberFormat="1" applyFont="1" applyAlignment="1">
      <alignment horizontal="right" vertical="top"/>
    </xf>
    <xf numFmtId="9" fontId="4" fillId="0" borderId="0" xfId="3" applyFont="1" applyFill="1" applyAlignment="1">
      <alignment vertical="top"/>
    </xf>
    <xf numFmtId="14" fontId="2" fillId="0" borderId="0" xfId="3" applyNumberFormat="1" applyFont="1" applyFill="1" applyBorder="1" applyAlignment="1">
      <alignment vertical="top"/>
    </xf>
    <xf numFmtId="9" fontId="2" fillId="0" borderId="0" xfId="3" applyFont="1" applyBorder="1" applyAlignment="1">
      <alignment vertical="top"/>
    </xf>
    <xf numFmtId="0" fontId="2" fillId="0" borderId="0" xfId="0" applyFont="1" applyAlignment="1">
      <alignment vertical="top"/>
    </xf>
    <xf numFmtId="9" fontId="5" fillId="0" borderId="0" xfId="3" applyFont="1" applyAlignment="1">
      <alignment vertical="top"/>
    </xf>
    <xf numFmtId="1" fontId="2" fillId="0" borderId="0" xfId="3" applyNumberFormat="1" applyFont="1" applyFill="1" applyBorder="1" applyAlignment="1">
      <alignment horizontal="center" vertical="center" wrapText="1"/>
    </xf>
    <xf numFmtId="1" fontId="2" fillId="0" borderId="0" xfId="3" applyNumberFormat="1" applyFont="1" applyAlignment="1">
      <alignment horizontal="center" vertical="center"/>
    </xf>
    <xf numFmtId="166" fontId="2" fillId="0" borderId="0" xfId="0" applyNumberFormat="1" applyFont="1" applyAlignment="1">
      <alignment vertical="top" wrapText="1"/>
    </xf>
    <xf numFmtId="9" fontId="2" fillId="0" borderId="0" xfId="3" applyFont="1" applyBorder="1" applyAlignment="1">
      <alignment horizontal="left" vertical="top" wrapText="1"/>
    </xf>
    <xf numFmtId="9" fontId="2" fillId="0" borderId="0" xfId="3" applyFont="1" applyFill="1" applyBorder="1" applyAlignment="1">
      <alignment vertical="top" wrapText="1"/>
    </xf>
    <xf numFmtId="0" fontId="2" fillId="0" borderId="0" xfId="0" applyFont="1" applyAlignment="1">
      <alignment horizontal="center" vertical="center" wrapText="1"/>
    </xf>
    <xf numFmtId="164" fontId="3" fillId="3" borderId="0" xfId="0" applyNumberFormat="1" applyFont="1" applyFill="1" applyAlignment="1">
      <alignment horizontal="center" vertical="center" wrapText="1"/>
    </xf>
    <xf numFmtId="165" fontId="2" fillId="0" borderId="0" xfId="1" applyNumberFormat="1" applyFont="1" applyAlignment="1">
      <alignment horizontal="center" vertical="top" wrapText="1"/>
    </xf>
    <xf numFmtId="9" fontId="2" fillId="0" borderId="0" xfId="3" applyFont="1" applyAlignment="1">
      <alignment wrapText="1"/>
    </xf>
    <xf numFmtId="164" fontId="4" fillId="0" borderId="0" xfId="0" applyNumberFormat="1" applyFont="1" applyAlignment="1">
      <alignment horizontal="right" vertical="center" wrapText="1"/>
    </xf>
    <xf numFmtId="9" fontId="4" fillId="0" borderId="0" xfId="3" applyFont="1" applyFill="1" applyAlignment="1">
      <alignment wrapText="1"/>
    </xf>
    <xf numFmtId="9" fontId="2" fillId="0" borderId="0" xfId="3" applyFont="1" applyFill="1" applyBorder="1" applyAlignment="1">
      <alignment wrapText="1"/>
    </xf>
    <xf numFmtId="14" fontId="2" fillId="0" borderId="0" xfId="3" applyNumberFormat="1" applyFont="1" applyFill="1" applyBorder="1" applyAlignment="1">
      <alignment wrapText="1"/>
    </xf>
    <xf numFmtId="9" fontId="2" fillId="0" borderId="0" xfId="3" applyFont="1" applyBorder="1"/>
    <xf numFmtId="1" fontId="2" fillId="0" borderId="0" xfId="3" applyNumberFormat="1" applyFont="1" applyFill="1" applyAlignment="1">
      <alignment horizontal="center" vertical="center"/>
    </xf>
    <xf numFmtId="164" fontId="2" fillId="0" borderId="0" xfId="0" applyNumberFormat="1" applyFont="1" applyAlignment="1">
      <alignment horizontal="right" vertical="center" wrapText="1"/>
    </xf>
    <xf numFmtId="9" fontId="2" fillId="0" borderId="0" xfId="3" applyFont="1" applyFill="1" applyAlignment="1">
      <alignment wrapText="1"/>
    </xf>
    <xf numFmtId="9" fontId="2" fillId="0" borderId="0" xfId="3" applyFont="1" applyAlignment="1">
      <alignment vertical="center" wrapText="1"/>
    </xf>
    <xf numFmtId="9" fontId="2" fillId="0" borderId="0" xfId="3" applyFont="1" applyFill="1" applyAlignment="1">
      <alignment vertical="center" wrapText="1"/>
    </xf>
    <xf numFmtId="9" fontId="2" fillId="0" borderId="0" xfId="3" applyFont="1" applyAlignment="1">
      <alignment vertical="top" wrapText="1"/>
    </xf>
    <xf numFmtId="164" fontId="3" fillId="3" borderId="0" xfId="0" applyNumberFormat="1" applyFont="1" applyFill="1" applyAlignment="1">
      <alignment horizontal="center" vertical="top" wrapText="1"/>
    </xf>
    <xf numFmtId="1" fontId="2" fillId="4" borderId="0" xfId="3" applyNumberFormat="1" applyFont="1" applyFill="1" applyBorder="1" applyAlignment="1">
      <alignment horizontal="center" vertical="center" wrapText="1"/>
    </xf>
    <xf numFmtId="9" fontId="2" fillId="0" borderId="0" xfId="3" applyFont="1" applyFill="1" applyBorder="1" applyAlignment="1">
      <alignment horizontal="left" vertical="top" wrapText="1"/>
    </xf>
    <xf numFmtId="9" fontId="2" fillId="0" borderId="0" xfId="3" applyFont="1" applyBorder="1" applyAlignment="1">
      <alignment vertical="top" wrapText="1"/>
    </xf>
    <xf numFmtId="164" fontId="3" fillId="5" borderId="0" xfId="0" applyNumberFormat="1" applyFont="1" applyFill="1" applyAlignment="1">
      <alignment horizontal="center" vertical="top" wrapText="1"/>
    </xf>
    <xf numFmtId="1" fontId="2" fillId="0" borderId="0" xfId="3" applyNumberFormat="1" applyFont="1" applyFill="1" applyAlignment="1">
      <alignment horizontal="center" vertical="center" wrapText="1"/>
    </xf>
    <xf numFmtId="1" fontId="2" fillId="0" borderId="0" xfId="3" applyNumberFormat="1" applyFont="1" applyAlignment="1">
      <alignment horizontal="center" vertical="center" wrapText="1"/>
    </xf>
    <xf numFmtId="166" fontId="2" fillId="0" borderId="0" xfId="0" applyNumberFormat="1" applyFont="1" applyAlignment="1">
      <alignment vertical="center" wrapText="1"/>
    </xf>
    <xf numFmtId="9" fontId="2" fillId="0" borderId="0" xfId="3" applyFont="1" applyAlignment="1">
      <alignment horizontal="left" vertical="top" wrapText="1"/>
    </xf>
    <xf numFmtId="14" fontId="2" fillId="0" borderId="0" xfId="3" applyNumberFormat="1" applyFont="1" applyAlignment="1">
      <alignment wrapText="1"/>
    </xf>
    <xf numFmtId="1" fontId="2" fillId="0" borderId="0" xfId="3" applyNumberFormat="1" applyFont="1" applyFill="1" applyBorder="1" applyAlignment="1">
      <alignment horizontal="center" vertical="top" wrapText="1"/>
    </xf>
    <xf numFmtId="1" fontId="2" fillId="0" borderId="0" xfId="3" applyNumberFormat="1" applyFont="1" applyFill="1" applyAlignment="1">
      <alignment horizontal="center" vertical="top"/>
    </xf>
    <xf numFmtId="166" fontId="5" fillId="0" borderId="0" xfId="0" applyNumberFormat="1" applyFont="1" applyAlignment="1">
      <alignment vertical="top" wrapText="1"/>
    </xf>
    <xf numFmtId="167" fontId="2" fillId="0" borderId="0" xfId="2" applyNumberFormat="1" applyFont="1" applyFill="1" applyAlignment="1">
      <alignment horizontal="left" vertical="top"/>
    </xf>
    <xf numFmtId="0" fontId="2" fillId="3" borderId="0" xfId="0" applyFont="1" applyFill="1" applyAlignment="1">
      <alignment horizontal="center" vertical="center" wrapText="1"/>
    </xf>
    <xf numFmtId="14" fontId="2" fillId="0" borderId="0" xfId="3" applyNumberFormat="1" applyFont="1" applyFill="1" applyBorder="1" applyAlignment="1">
      <alignment vertical="top" wrapText="1"/>
    </xf>
    <xf numFmtId="0" fontId="3" fillId="5" borderId="0" xfId="0" applyFont="1" applyFill="1" applyAlignment="1">
      <alignment horizontal="center" vertical="center" wrapText="1"/>
    </xf>
    <xf numFmtId="9" fontId="4" fillId="0" borderId="0" xfId="3" applyFont="1" applyAlignment="1">
      <alignment wrapText="1"/>
    </xf>
    <xf numFmtId="1" fontId="2" fillId="0" borderId="0" xfId="3" applyNumberFormat="1" applyFont="1" applyBorder="1" applyAlignment="1">
      <alignment horizontal="center" vertical="center" wrapText="1"/>
    </xf>
    <xf numFmtId="1" fontId="2" fillId="0" borderId="0" xfId="3" applyNumberFormat="1" applyFont="1" applyBorder="1" applyAlignment="1">
      <alignment horizontal="center" vertical="center"/>
    </xf>
    <xf numFmtId="167" fontId="2" fillId="0" borderId="0" xfId="2" applyNumberFormat="1" applyFont="1" applyBorder="1" applyAlignment="1">
      <alignment horizontal="left" vertical="top"/>
    </xf>
    <xf numFmtId="9" fontId="2" fillId="0" borderId="0" xfId="3" applyFont="1" applyBorder="1" applyAlignment="1">
      <alignment wrapText="1"/>
    </xf>
    <xf numFmtId="14" fontId="2" fillId="0" borderId="0" xfId="3" applyNumberFormat="1" applyFont="1" applyBorder="1" applyAlignment="1">
      <alignment wrapText="1"/>
    </xf>
    <xf numFmtId="164" fontId="8" fillId="0" borderId="0" xfId="0" applyNumberFormat="1" applyFont="1" applyAlignment="1">
      <alignment horizontal="right" vertical="center" wrapText="1"/>
    </xf>
    <xf numFmtId="9" fontId="8" fillId="0" borderId="0" xfId="3" applyFont="1" applyFill="1" applyAlignment="1">
      <alignment wrapText="1"/>
    </xf>
    <xf numFmtId="1" fontId="2" fillId="6" borderId="0" xfId="3" applyNumberFormat="1" applyFont="1" applyFill="1" applyBorder="1" applyAlignment="1">
      <alignment horizontal="center" vertical="center" wrapText="1"/>
    </xf>
    <xf numFmtId="9" fontId="5" fillId="7" borderId="0" xfId="3" applyFont="1" applyFill="1" applyAlignment="1">
      <alignment horizontal="left" vertical="top" wrapText="1"/>
    </xf>
    <xf numFmtId="9" fontId="9" fillId="0" borderId="0" xfId="3" applyFont="1" applyFill="1" applyBorder="1" applyAlignment="1">
      <alignment vertical="top" wrapText="1"/>
    </xf>
    <xf numFmtId="164" fontId="3" fillId="5" borderId="0" xfId="0" applyNumberFormat="1" applyFont="1" applyFill="1" applyAlignment="1">
      <alignment horizontal="center" vertical="center" wrapText="1"/>
    </xf>
    <xf numFmtId="0" fontId="9" fillId="0" borderId="0" xfId="0" applyFont="1"/>
    <xf numFmtId="164" fontId="9" fillId="0" borderId="0" xfId="0" applyNumberFormat="1" applyFont="1" applyAlignment="1">
      <alignment horizontal="right" vertical="center" wrapText="1"/>
    </xf>
    <xf numFmtId="166" fontId="7" fillId="0" borderId="0" xfId="0" applyNumberFormat="1" applyFont="1" applyAlignment="1">
      <alignment vertical="top" wrapText="1"/>
    </xf>
    <xf numFmtId="9" fontId="2" fillId="7" borderId="0" xfId="3" applyFont="1" applyFill="1" applyBorder="1" applyAlignment="1">
      <alignment horizontal="left" vertical="top" wrapText="1"/>
    </xf>
    <xf numFmtId="1" fontId="2" fillId="0" borderId="0" xfId="3" applyNumberFormat="1" applyFont="1" applyFill="1" applyBorder="1" applyAlignment="1">
      <alignment horizontal="center" vertical="center"/>
    </xf>
    <xf numFmtId="0" fontId="3" fillId="3" borderId="0" xfId="0" applyFont="1" applyFill="1" applyAlignment="1">
      <alignment horizontal="center" vertical="top" wrapText="1"/>
    </xf>
    <xf numFmtId="1" fontId="5" fillId="0" borderId="0" xfId="3" applyNumberFormat="1" applyFont="1" applyAlignment="1">
      <alignment horizontal="center" vertical="center"/>
    </xf>
    <xf numFmtId="1" fontId="5" fillId="0" borderId="0" xfId="3" applyNumberFormat="1" applyFont="1" applyFill="1" applyAlignment="1">
      <alignment horizontal="center" vertical="center"/>
    </xf>
    <xf numFmtId="9" fontId="8" fillId="0" borderId="0" xfId="3" applyFont="1" applyAlignment="1">
      <alignment wrapText="1"/>
    </xf>
    <xf numFmtId="164" fontId="11" fillId="3" borderId="0" xfId="0" applyNumberFormat="1" applyFont="1" applyFill="1" applyAlignment="1">
      <alignment horizontal="center" vertical="center" wrapText="1"/>
    </xf>
    <xf numFmtId="0" fontId="12" fillId="0" borderId="0" xfId="0" applyFont="1"/>
    <xf numFmtId="164" fontId="12" fillId="0" borderId="0" xfId="0" applyNumberFormat="1" applyFont="1" applyAlignment="1">
      <alignment horizontal="right" vertical="center" wrapText="1"/>
    </xf>
    <xf numFmtId="9" fontId="9" fillId="0" borderId="0" xfId="3" applyFont="1" applyAlignment="1">
      <alignment horizontal="left" vertical="top" wrapText="1"/>
    </xf>
    <xf numFmtId="166" fontId="9" fillId="0" borderId="0" xfId="0" applyNumberFormat="1" applyFont="1" applyAlignment="1">
      <alignment vertical="top" wrapText="1"/>
    </xf>
    <xf numFmtId="0" fontId="3" fillId="0" borderId="0" xfId="0" applyFont="1" applyAlignment="1">
      <alignment horizontal="center" vertical="center" wrapText="1"/>
    </xf>
    <xf numFmtId="9" fontId="2" fillId="0" borderId="0" xfId="3" applyFont="1" applyFill="1" applyBorder="1" applyAlignment="1">
      <alignment vertical="center" wrapText="1"/>
    </xf>
    <xf numFmtId="14" fontId="2" fillId="0" borderId="0" xfId="3" applyNumberFormat="1" applyFont="1" applyFill="1" applyBorder="1" applyAlignment="1">
      <alignment vertical="center" wrapText="1"/>
    </xf>
    <xf numFmtId="164" fontId="14" fillId="0" borderId="0" xfId="0" applyNumberFormat="1" applyFont="1" applyAlignment="1">
      <alignment horizontal="right" vertical="center" wrapText="1"/>
    </xf>
    <xf numFmtId="1" fontId="5" fillId="0" borderId="0" xfId="3" applyNumberFormat="1" applyFont="1" applyFill="1" applyAlignment="1">
      <alignment horizontal="center" vertical="center" wrapText="1"/>
    </xf>
    <xf numFmtId="1" fontId="5" fillId="0" borderId="0" xfId="3" applyNumberFormat="1" applyFont="1" applyAlignment="1">
      <alignment horizontal="center" vertical="center" wrapText="1"/>
    </xf>
    <xf numFmtId="0" fontId="5" fillId="0" borderId="0" xfId="0" applyFont="1"/>
    <xf numFmtId="9" fontId="5" fillId="0" borderId="0" xfId="3" applyFont="1" applyAlignment="1">
      <alignment vertical="top" wrapText="1"/>
    </xf>
    <xf numFmtId="167" fontId="5" fillId="0" borderId="0" xfId="2" applyNumberFormat="1" applyFont="1" applyAlignment="1">
      <alignment horizontal="left" vertical="top"/>
    </xf>
    <xf numFmtId="0" fontId="5" fillId="0" borderId="0" xfId="0" applyFont="1" applyAlignment="1">
      <alignment horizontal="center" vertical="center" wrapText="1"/>
    </xf>
    <xf numFmtId="164" fontId="11" fillId="3" borderId="0" xfId="0" applyNumberFormat="1" applyFont="1" applyFill="1" applyAlignment="1">
      <alignment horizontal="center" vertical="top" wrapText="1"/>
    </xf>
    <xf numFmtId="165" fontId="5" fillId="0" borderId="0" xfId="1" applyNumberFormat="1" applyFont="1" applyAlignment="1">
      <alignment horizontal="center" vertical="top" wrapText="1"/>
    </xf>
    <xf numFmtId="9" fontId="5" fillId="0" borderId="0" xfId="3" applyFont="1" applyAlignment="1">
      <alignment wrapText="1"/>
    </xf>
    <xf numFmtId="14" fontId="5" fillId="0" borderId="0" xfId="3" applyNumberFormat="1" applyFont="1" applyAlignment="1">
      <alignment wrapText="1"/>
    </xf>
    <xf numFmtId="0" fontId="2" fillId="0" borderId="0" xfId="0" applyFont="1" applyAlignment="1">
      <alignment vertical="top" wrapText="1"/>
    </xf>
    <xf numFmtId="9" fontId="6" fillId="0" borderId="0" xfId="3" applyFont="1" applyFill="1" applyBorder="1" applyAlignment="1">
      <alignment wrapText="1"/>
    </xf>
    <xf numFmtId="14" fontId="6" fillId="0" borderId="0" xfId="3" applyNumberFormat="1" applyFont="1" applyFill="1" applyBorder="1" applyAlignment="1">
      <alignment wrapText="1"/>
    </xf>
    <xf numFmtId="0" fontId="3" fillId="3" borderId="0" xfId="0" applyFont="1" applyFill="1" applyAlignment="1">
      <alignment horizontal="center" vertical="center" wrapText="1"/>
    </xf>
    <xf numFmtId="164" fontId="2" fillId="0" borderId="0" xfId="0" applyNumberFormat="1" applyFont="1" applyAlignment="1">
      <alignment horizontal="center" vertical="center" wrapText="1"/>
    </xf>
    <xf numFmtId="1" fontId="2" fillId="0" borderId="0" xfId="3" applyNumberFormat="1" applyFont="1" applyFill="1" applyAlignment="1">
      <alignment horizontal="center" vertical="top" wrapText="1"/>
    </xf>
    <xf numFmtId="1" fontId="2" fillId="0" borderId="0" xfId="3" applyNumberFormat="1" applyFont="1" applyAlignment="1">
      <alignment horizontal="center" vertical="top" wrapText="1"/>
    </xf>
    <xf numFmtId="14" fontId="2" fillId="0" borderId="0" xfId="3" applyNumberFormat="1" applyFont="1" applyAlignment="1">
      <alignment vertical="top" wrapText="1"/>
    </xf>
    <xf numFmtId="9" fontId="2" fillId="0" borderId="0" xfId="3" applyFont="1"/>
    <xf numFmtId="9" fontId="9" fillId="0" borderId="0" xfId="3" applyFont="1" applyFill="1" applyBorder="1" applyAlignment="1">
      <alignment horizontal="left" vertical="top" wrapText="1"/>
    </xf>
    <xf numFmtId="166" fontId="15" fillId="0" borderId="0" xfId="0" applyNumberFormat="1" applyFont="1" applyAlignment="1">
      <alignment vertical="top" wrapText="1"/>
    </xf>
    <xf numFmtId="0" fontId="2" fillId="8" borderId="0" xfId="0" applyFont="1" applyFill="1" applyAlignment="1">
      <alignment horizontal="center" vertical="center" wrapText="1"/>
    </xf>
    <xf numFmtId="0" fontId="2" fillId="9" borderId="0" xfId="0" applyFont="1" applyFill="1" applyAlignment="1">
      <alignment horizontal="center" vertical="center" wrapText="1"/>
    </xf>
    <xf numFmtId="9" fontId="2" fillId="0" borderId="0" xfId="3" applyFont="1" applyFill="1" applyAlignment="1">
      <alignment horizontal="left" vertical="top" wrapText="1"/>
    </xf>
    <xf numFmtId="164" fontId="3" fillId="0" borderId="0" xfId="0" applyNumberFormat="1" applyFont="1" applyAlignment="1">
      <alignment horizontal="center" vertical="center" wrapText="1"/>
    </xf>
    <xf numFmtId="1" fontId="2" fillId="0" borderId="0" xfId="0" applyNumberFormat="1" applyFont="1" applyAlignment="1">
      <alignment horizontal="center" vertical="center" wrapText="1"/>
    </xf>
    <xf numFmtId="1" fontId="2" fillId="6" borderId="0" xfId="0" applyNumberFormat="1" applyFont="1" applyFill="1" applyAlignment="1">
      <alignment horizontal="center" vertical="center" wrapText="1"/>
    </xf>
    <xf numFmtId="9" fontId="9" fillId="0" borderId="0" xfId="3" applyFont="1" applyAlignment="1">
      <alignment vertical="center" wrapText="1"/>
    </xf>
    <xf numFmtId="166" fontId="7" fillId="6" borderId="0" xfId="0" applyNumberFormat="1" applyFont="1" applyFill="1" applyAlignment="1">
      <alignment vertical="top" wrapText="1"/>
    </xf>
    <xf numFmtId="9" fontId="2" fillId="0" borderId="0" xfId="3" applyFont="1" applyBorder="1" applyAlignment="1"/>
    <xf numFmtId="164" fontId="3" fillId="0" borderId="0" xfId="0" applyNumberFormat="1" applyFont="1" applyAlignment="1">
      <alignment horizontal="right" vertical="center" wrapText="1"/>
    </xf>
    <xf numFmtId="9" fontId="3" fillId="0" borderId="0" xfId="3" applyFont="1" applyFill="1" applyBorder="1" applyAlignment="1">
      <alignment wrapText="1"/>
    </xf>
    <xf numFmtId="14" fontId="3" fillId="0" borderId="0" xfId="3" applyNumberFormat="1" applyFont="1" applyFill="1" applyBorder="1" applyAlignment="1">
      <alignment wrapText="1"/>
    </xf>
    <xf numFmtId="9" fontId="2" fillId="0" borderId="0" xfId="3" applyFont="1" applyFill="1" applyBorder="1" applyAlignment="1">
      <alignment horizontal="left" vertical="center" wrapText="1"/>
    </xf>
    <xf numFmtId="166" fontId="2" fillId="0" borderId="0" xfId="0" applyNumberFormat="1" applyFont="1" applyAlignment="1">
      <alignment horizontal="left" vertical="top" wrapText="1"/>
    </xf>
    <xf numFmtId="0" fontId="9" fillId="0" borderId="0" xfId="0" applyFont="1" applyAlignment="1">
      <alignment horizontal="left" vertical="top"/>
    </xf>
    <xf numFmtId="14" fontId="2" fillId="0" borderId="0" xfId="3" applyNumberFormat="1" applyFont="1" applyFill="1" applyBorder="1" applyAlignment="1">
      <alignment horizontal="left" vertical="top" wrapText="1"/>
    </xf>
    <xf numFmtId="9" fontId="9" fillId="0" borderId="0" xfId="3" applyFont="1" applyFill="1" applyBorder="1" applyAlignment="1">
      <alignment wrapText="1"/>
    </xf>
    <xf numFmtId="9" fontId="3" fillId="0" borderId="0" xfId="3" applyFont="1" applyAlignment="1">
      <alignment wrapText="1"/>
    </xf>
    <xf numFmtId="14" fontId="3" fillId="0" borderId="0" xfId="3" applyNumberFormat="1" applyFont="1" applyAlignment="1">
      <alignment wrapText="1"/>
    </xf>
    <xf numFmtId="1" fontId="9" fillId="0" borderId="0" xfId="3" applyNumberFormat="1" applyFont="1" applyBorder="1" applyAlignment="1">
      <alignment horizontal="center" vertical="center" wrapText="1"/>
    </xf>
    <xf numFmtId="9" fontId="5" fillId="0" borderId="0" xfId="3" applyFont="1"/>
    <xf numFmtId="9" fontId="2" fillId="0" borderId="0" xfId="3" applyFont="1" applyFill="1" applyBorder="1" applyAlignment="1">
      <alignment horizontal="left" vertical="top"/>
    </xf>
    <xf numFmtId="0" fontId="2" fillId="0" borderId="0" xfId="0" applyFont="1" applyAlignment="1">
      <alignment horizontal="center" vertical="center"/>
    </xf>
    <xf numFmtId="9" fontId="2" fillId="0" borderId="0" xfId="3" applyFont="1" applyAlignment="1"/>
    <xf numFmtId="164" fontId="2" fillId="0" borderId="0" xfId="0" applyNumberFormat="1" applyFont="1" applyAlignment="1">
      <alignment horizontal="right" vertical="center"/>
    </xf>
    <xf numFmtId="9" fontId="2" fillId="0" borderId="0" xfId="3" applyFont="1" applyFill="1" applyBorder="1" applyAlignment="1"/>
    <xf numFmtId="14" fontId="2" fillId="0" borderId="0" xfId="3" applyNumberFormat="1" applyFont="1" applyFill="1" applyBorder="1" applyAlignment="1"/>
    <xf numFmtId="9" fontId="2" fillId="0" borderId="0" xfId="3" applyFont="1" applyFill="1" applyBorder="1"/>
    <xf numFmtId="9" fontId="6" fillId="0" borderId="0" xfId="3" applyFont="1" applyBorder="1" applyAlignment="1">
      <alignment horizontal="left" vertical="top" wrapText="1"/>
    </xf>
    <xf numFmtId="9" fontId="2" fillId="6" borderId="0" xfId="3" applyFont="1" applyFill="1" applyBorder="1"/>
    <xf numFmtId="9" fontId="3" fillId="0" borderId="0" xfId="3" applyFont="1" applyFill="1" applyAlignment="1">
      <alignment wrapText="1"/>
    </xf>
    <xf numFmtId="14" fontId="3" fillId="0" borderId="0" xfId="3" applyNumberFormat="1" applyFont="1" applyFill="1" applyAlignment="1">
      <alignment wrapText="1"/>
    </xf>
    <xf numFmtId="9" fontId="2" fillId="0" borderId="0" xfId="3" applyFont="1" applyFill="1" applyAlignment="1">
      <alignment vertical="top" wrapText="1"/>
    </xf>
    <xf numFmtId="9" fontId="3" fillId="0" borderId="0" xfId="3" applyFont="1" applyFill="1" applyBorder="1" applyAlignment="1">
      <alignment vertical="center" wrapText="1"/>
    </xf>
    <xf numFmtId="14" fontId="3" fillId="0" borderId="0" xfId="3" applyNumberFormat="1" applyFont="1" applyFill="1" applyBorder="1" applyAlignment="1">
      <alignment vertical="center" wrapText="1"/>
    </xf>
    <xf numFmtId="14" fontId="2" fillId="0" borderId="0" xfId="3" applyNumberFormat="1" applyFont="1" applyBorder="1" applyAlignment="1"/>
    <xf numFmtId="0" fontId="19" fillId="0" borderId="0" xfId="0" applyFont="1" applyAlignment="1">
      <alignment vertical="center"/>
    </xf>
    <xf numFmtId="9" fontId="2" fillId="0" borderId="0" xfId="3" applyFont="1" applyBorder="1" applyAlignment="1">
      <alignment vertical="center" wrapText="1"/>
    </xf>
    <xf numFmtId="0" fontId="19" fillId="0" borderId="0" xfId="0" applyFont="1"/>
    <xf numFmtId="0" fontId="7" fillId="0" borderId="0" xfId="0" applyFont="1"/>
    <xf numFmtId="0" fontId="7" fillId="0" borderId="0" xfId="0" applyFont="1" applyAlignment="1">
      <alignment vertical="center"/>
    </xf>
    <xf numFmtId="167" fontId="2" fillId="0" borderId="0" xfId="2" applyNumberFormat="1" applyFont="1" applyFill="1" applyBorder="1" applyAlignment="1">
      <alignment horizontal="left" vertical="top"/>
    </xf>
    <xf numFmtId="9" fontId="2" fillId="0" borderId="0" xfId="3" applyFont="1" applyFill="1"/>
    <xf numFmtId="1" fontId="2" fillId="10" borderId="0" xfId="0" applyNumberFormat="1" applyFont="1" applyFill="1" applyAlignment="1">
      <alignment horizontal="center" vertical="center" wrapText="1"/>
    </xf>
    <xf numFmtId="1" fontId="2" fillId="10" borderId="0" xfId="3" applyNumberFormat="1" applyFont="1" applyFill="1" applyAlignment="1">
      <alignment horizontal="center" vertical="center"/>
    </xf>
    <xf numFmtId="0" fontId="2" fillId="10" borderId="0" xfId="0" applyFont="1" applyFill="1" applyAlignment="1">
      <alignment vertical="top" wrapText="1"/>
    </xf>
    <xf numFmtId="0" fontId="2" fillId="10" borderId="0" xfId="0" applyFont="1" applyFill="1" applyAlignment="1">
      <alignment horizontal="left" vertical="top" wrapText="1"/>
    </xf>
    <xf numFmtId="167" fontId="2" fillId="10" borderId="0" xfId="2" applyNumberFormat="1" applyFont="1" applyFill="1" applyAlignment="1">
      <alignment horizontal="left" vertical="top"/>
    </xf>
    <xf numFmtId="0" fontId="2" fillId="10" borderId="0" xfId="0" applyFont="1" applyFill="1" applyAlignment="1">
      <alignment horizontal="center" vertical="center" wrapText="1"/>
    </xf>
    <xf numFmtId="164" fontId="2" fillId="10" borderId="0" xfId="0" applyNumberFormat="1" applyFont="1" applyFill="1" applyAlignment="1">
      <alignment horizontal="center" vertical="center" wrapText="1"/>
    </xf>
    <xf numFmtId="165" fontId="2" fillId="10" borderId="0" xfId="1" applyNumberFormat="1" applyFont="1" applyFill="1" applyAlignment="1">
      <alignment wrapText="1"/>
    </xf>
    <xf numFmtId="0" fontId="2" fillId="10" borderId="0" xfId="0" applyFont="1" applyFill="1" applyAlignment="1">
      <alignment wrapText="1"/>
    </xf>
    <xf numFmtId="164" fontId="2" fillId="10" borderId="0" xfId="0" applyNumberFormat="1" applyFont="1" applyFill="1" applyAlignment="1">
      <alignment wrapText="1"/>
    </xf>
    <xf numFmtId="14" fontId="2" fillId="10" borderId="0" xfId="0" applyNumberFormat="1" applyFont="1" applyFill="1" applyAlignment="1">
      <alignment wrapText="1"/>
    </xf>
    <xf numFmtId="167" fontId="2" fillId="10" borderId="0" xfId="2" applyNumberFormat="1" applyFont="1" applyFill="1" applyAlignment="1">
      <alignment wrapText="1"/>
    </xf>
    <xf numFmtId="0" fontId="2" fillId="10" borderId="0" xfId="0" applyFont="1" applyFill="1" applyAlignment="1">
      <alignment vertical="top"/>
    </xf>
    <xf numFmtId="1" fontId="2" fillId="10" borderId="0" xfId="3" applyNumberFormat="1" applyFont="1" applyFill="1" applyBorder="1" applyAlignment="1">
      <alignment horizontal="center" vertical="center" wrapText="1"/>
    </xf>
    <xf numFmtId="166" fontId="2" fillId="10" borderId="0" xfId="0" applyNumberFormat="1" applyFont="1" applyFill="1" applyAlignment="1">
      <alignment vertical="top" wrapText="1"/>
    </xf>
    <xf numFmtId="9" fontId="2" fillId="10" borderId="0" xfId="3" applyFont="1" applyFill="1" applyBorder="1" applyAlignment="1">
      <alignment horizontal="left" vertical="top" wrapText="1"/>
    </xf>
    <xf numFmtId="9" fontId="2" fillId="10" borderId="0" xfId="3" applyFont="1" applyFill="1" applyBorder="1" applyAlignment="1">
      <alignment vertical="top" wrapText="1"/>
    </xf>
    <xf numFmtId="164" fontId="3" fillId="10" borderId="0" xfId="0" applyNumberFormat="1" applyFont="1" applyFill="1" applyAlignment="1">
      <alignment horizontal="center" vertical="center" wrapText="1"/>
    </xf>
    <xf numFmtId="165" fontId="2" fillId="10" borderId="0" xfId="1" applyNumberFormat="1" applyFont="1" applyFill="1" applyAlignment="1">
      <alignment horizontal="center" vertical="top" wrapText="1"/>
    </xf>
    <xf numFmtId="9" fontId="2" fillId="10" borderId="0" xfId="3" applyFont="1" applyFill="1" applyAlignment="1">
      <alignment wrapText="1"/>
    </xf>
    <xf numFmtId="164" fontId="2" fillId="10" borderId="0" xfId="0" applyNumberFormat="1" applyFont="1" applyFill="1" applyAlignment="1">
      <alignment horizontal="right" vertical="center" wrapText="1"/>
    </xf>
    <xf numFmtId="9" fontId="2" fillId="10" borderId="0" xfId="3" applyFont="1" applyFill="1" applyBorder="1" applyAlignment="1">
      <alignment wrapText="1"/>
    </xf>
    <xf numFmtId="14" fontId="2" fillId="10" borderId="0" xfId="3" applyNumberFormat="1" applyFont="1" applyFill="1" applyBorder="1" applyAlignment="1">
      <alignment wrapText="1"/>
    </xf>
    <xf numFmtId="0" fontId="9" fillId="10" borderId="0" xfId="0" applyFont="1" applyFill="1" applyAlignment="1">
      <alignment horizontal="left" vertical="top" wrapText="1"/>
    </xf>
    <xf numFmtId="0" fontId="3" fillId="10" borderId="0" xfId="0" applyFont="1" applyFill="1" applyAlignment="1">
      <alignment horizontal="center" vertical="center" wrapText="1"/>
    </xf>
    <xf numFmtId="165" fontId="3" fillId="10" borderId="0" xfId="1" applyNumberFormat="1" applyFont="1" applyFill="1" applyAlignment="1">
      <alignment horizontal="center" vertical="center" wrapText="1"/>
    </xf>
    <xf numFmtId="0" fontId="9" fillId="10" borderId="0" xfId="0" applyFont="1" applyFill="1"/>
    <xf numFmtId="164" fontId="9" fillId="10" borderId="0" xfId="0" applyNumberFormat="1" applyFont="1" applyFill="1" applyAlignment="1">
      <alignment horizontal="right" vertical="center" wrapText="1"/>
    </xf>
    <xf numFmtId="9" fontId="9" fillId="10" borderId="0" xfId="3" applyFont="1" applyFill="1" applyAlignment="1">
      <alignment wrapText="1"/>
    </xf>
    <xf numFmtId="14" fontId="9" fillId="10" borderId="0" xfId="3" applyNumberFormat="1" applyFont="1" applyFill="1" applyAlignment="1">
      <alignment wrapText="1"/>
    </xf>
    <xf numFmtId="166" fontId="7" fillId="10" borderId="0" xfId="0" applyNumberFormat="1" applyFont="1" applyFill="1" applyAlignment="1">
      <alignment vertical="top" wrapText="1"/>
    </xf>
    <xf numFmtId="9" fontId="9" fillId="10" borderId="0" xfId="3" applyFont="1" applyFill="1" applyBorder="1" applyAlignment="1">
      <alignment horizontal="left" vertical="top" wrapText="1"/>
    </xf>
    <xf numFmtId="9" fontId="9" fillId="10" borderId="0" xfId="3" applyFont="1" applyFill="1" applyBorder="1" applyAlignment="1">
      <alignment wrapText="1"/>
    </xf>
    <xf numFmtId="14" fontId="9" fillId="10" borderId="0" xfId="3" applyNumberFormat="1" applyFont="1" applyFill="1" applyBorder="1" applyAlignment="1">
      <alignment wrapText="1"/>
    </xf>
    <xf numFmtId="14" fontId="2" fillId="10" borderId="0" xfId="3" applyNumberFormat="1" applyFont="1" applyFill="1" applyAlignment="1">
      <alignment wrapText="1"/>
    </xf>
    <xf numFmtId="9" fontId="2" fillId="10" borderId="0" xfId="3" applyFont="1" applyFill="1" applyAlignment="1">
      <alignment horizontal="left" vertical="top" wrapText="1"/>
    </xf>
    <xf numFmtId="165" fontId="2" fillId="10" borderId="0" xfId="1" applyNumberFormat="1" applyFont="1" applyFill="1" applyAlignment="1">
      <alignment horizontal="center" vertical="center" wrapText="1"/>
    </xf>
    <xf numFmtId="9" fontId="3" fillId="10" borderId="0" xfId="3" applyFont="1" applyFill="1" applyBorder="1" applyAlignment="1">
      <alignment wrapText="1"/>
    </xf>
    <xf numFmtId="14" fontId="3" fillId="10" borderId="0" xfId="3" applyNumberFormat="1" applyFont="1" applyFill="1" applyBorder="1" applyAlignment="1">
      <alignment wrapText="1"/>
    </xf>
    <xf numFmtId="9" fontId="2" fillId="10" borderId="0" xfId="3" applyFont="1" applyFill="1" applyAlignment="1">
      <alignment vertical="top" wrapText="1"/>
    </xf>
    <xf numFmtId="9" fontId="2" fillId="10" borderId="0" xfId="3" applyFont="1" applyFill="1" applyBorder="1" applyAlignment="1">
      <alignment vertical="top"/>
    </xf>
    <xf numFmtId="0" fontId="7" fillId="10" borderId="0" xfId="0" applyFont="1" applyFill="1" applyAlignment="1">
      <alignment vertical="top" wrapText="1"/>
    </xf>
    <xf numFmtId="164" fontId="9" fillId="10" borderId="0" xfId="0" applyNumberFormat="1" applyFont="1" applyFill="1" applyAlignment="1">
      <alignment horizontal="center" vertical="center" wrapText="1"/>
    </xf>
    <xf numFmtId="9" fontId="9" fillId="10" borderId="0" xfId="3" applyFont="1" applyFill="1" applyBorder="1" applyAlignment="1">
      <alignment vertical="center" wrapText="1"/>
    </xf>
    <xf numFmtId="9" fontId="9" fillId="10" borderId="0" xfId="3" applyFont="1" applyFill="1" applyBorder="1" applyAlignment="1">
      <alignment vertical="top" wrapText="1"/>
    </xf>
    <xf numFmtId="0" fontId="9" fillId="10" borderId="0" xfId="0" applyFont="1" applyFill="1" applyAlignment="1">
      <alignment horizontal="center" vertical="center" wrapText="1"/>
    </xf>
    <xf numFmtId="0" fontId="9" fillId="10" borderId="0" xfId="0" applyFont="1" applyFill="1" applyAlignment="1">
      <alignment vertical="center"/>
    </xf>
    <xf numFmtId="9" fontId="2" fillId="10" borderId="0" xfId="3" applyFont="1" applyFill="1" applyBorder="1" applyAlignment="1">
      <alignment vertical="center" wrapText="1"/>
    </xf>
    <xf numFmtId="9" fontId="9" fillId="10" borderId="0" xfId="3" applyFont="1" applyFill="1" applyBorder="1" applyAlignment="1">
      <alignment horizontal="left" vertical="center" wrapText="1"/>
    </xf>
    <xf numFmtId="166" fontId="9" fillId="10" borderId="0" xfId="0" applyNumberFormat="1" applyFont="1" applyFill="1" applyAlignment="1">
      <alignment vertical="top" wrapText="1"/>
    </xf>
    <xf numFmtId="9" fontId="9" fillId="10" borderId="0" xfId="3" applyFont="1" applyFill="1" applyAlignment="1">
      <alignment vertical="center" wrapText="1"/>
    </xf>
    <xf numFmtId="9" fontId="9" fillId="10" borderId="0" xfId="3" applyFont="1" applyFill="1" applyAlignment="1">
      <alignment horizontal="left" vertical="top" wrapText="1"/>
    </xf>
    <xf numFmtId="1" fontId="5" fillId="10" borderId="0" xfId="3" applyNumberFormat="1" applyFont="1" applyFill="1" applyAlignment="1">
      <alignment horizontal="center" vertical="center" wrapText="1"/>
    </xf>
    <xf numFmtId="1" fontId="5" fillId="10" borderId="0" xfId="3" applyNumberFormat="1" applyFont="1" applyFill="1" applyAlignment="1">
      <alignment horizontal="center" vertical="center"/>
    </xf>
    <xf numFmtId="0" fontId="5" fillId="10" borderId="0" xfId="0" applyFont="1" applyFill="1"/>
    <xf numFmtId="9" fontId="5" fillId="10" borderId="0" xfId="3" applyFont="1" applyFill="1" applyAlignment="1">
      <alignment vertical="top" wrapText="1"/>
    </xf>
    <xf numFmtId="166" fontId="5" fillId="10" borderId="0" xfId="0" applyNumberFormat="1" applyFont="1" applyFill="1" applyAlignment="1">
      <alignment vertical="top" wrapText="1"/>
    </xf>
    <xf numFmtId="167" fontId="5" fillId="10" borderId="0" xfId="2" applyNumberFormat="1" applyFont="1" applyFill="1" applyAlignment="1">
      <alignment horizontal="left" vertical="top"/>
    </xf>
    <xf numFmtId="0" fontId="5" fillId="10" borderId="0" xfId="0" applyFont="1" applyFill="1" applyAlignment="1">
      <alignment horizontal="center" vertical="center" wrapText="1"/>
    </xf>
    <xf numFmtId="164" fontId="11" fillId="10" borderId="0" xfId="0" applyNumberFormat="1" applyFont="1" applyFill="1" applyAlignment="1">
      <alignment horizontal="center" vertical="top" wrapText="1"/>
    </xf>
    <xf numFmtId="165" fontId="5" fillId="10" borderId="0" xfId="1" applyNumberFormat="1" applyFont="1" applyFill="1" applyAlignment="1">
      <alignment horizontal="center" vertical="top" wrapText="1"/>
    </xf>
    <xf numFmtId="9" fontId="5" fillId="10" borderId="0" xfId="3" applyFont="1" applyFill="1" applyAlignment="1">
      <alignment wrapText="1"/>
    </xf>
    <xf numFmtId="164" fontId="14" fillId="10" borderId="0" xfId="0" applyNumberFormat="1" applyFont="1" applyFill="1" applyAlignment="1">
      <alignment horizontal="right" vertical="center" wrapText="1"/>
    </xf>
    <xf numFmtId="166" fontId="2" fillId="10" borderId="0" xfId="0" applyNumberFormat="1" applyFont="1" applyFill="1" applyAlignment="1">
      <alignment horizontal="left" vertical="top" wrapText="1"/>
    </xf>
    <xf numFmtId="1" fontId="2" fillId="10" borderId="0" xfId="3" applyNumberFormat="1" applyFont="1" applyFill="1" applyAlignment="1">
      <alignment horizontal="center" vertical="center" wrapText="1"/>
    </xf>
    <xf numFmtId="167" fontId="2" fillId="10" borderId="0" xfId="2" applyNumberFormat="1" applyFont="1" applyFill="1" applyBorder="1" applyAlignment="1">
      <alignment horizontal="left" vertical="top"/>
    </xf>
    <xf numFmtId="1" fontId="5" fillId="10" borderId="0" xfId="3" applyNumberFormat="1" applyFont="1" applyFill="1" applyAlignment="1">
      <alignment horizontal="center" vertical="top"/>
    </xf>
    <xf numFmtId="166" fontId="5" fillId="10" borderId="0" xfId="0" applyNumberFormat="1" applyFont="1" applyFill="1" applyAlignment="1">
      <alignment vertical="top"/>
    </xf>
    <xf numFmtId="9" fontId="5" fillId="10" borderId="0" xfId="3" applyFont="1" applyFill="1" applyAlignment="1">
      <alignment horizontal="left" vertical="top"/>
    </xf>
    <xf numFmtId="9" fontId="5" fillId="10" borderId="0" xfId="3" applyFont="1" applyFill="1" applyAlignment="1">
      <alignment vertical="top"/>
    </xf>
    <xf numFmtId="0" fontId="5" fillId="10" borderId="0" xfId="0" applyFont="1" applyFill="1" applyAlignment="1">
      <alignment vertical="top"/>
    </xf>
    <xf numFmtId="0" fontId="5" fillId="10" borderId="0" xfId="0" applyFont="1" applyFill="1" applyAlignment="1">
      <alignment horizontal="center" vertical="top"/>
    </xf>
    <xf numFmtId="164" fontId="5" fillId="10" borderId="0" xfId="0" applyNumberFormat="1" applyFont="1" applyFill="1" applyAlignment="1">
      <alignment horizontal="center" vertical="top"/>
    </xf>
    <xf numFmtId="165" fontId="5" fillId="10" borderId="0" xfId="1" applyNumberFormat="1" applyFont="1" applyFill="1" applyAlignment="1">
      <alignment horizontal="center" vertical="top"/>
    </xf>
    <xf numFmtId="164" fontId="5" fillId="10" borderId="0" xfId="0" applyNumberFormat="1" applyFont="1" applyFill="1" applyAlignment="1">
      <alignment horizontal="right" vertical="top"/>
    </xf>
    <xf numFmtId="14" fontId="5" fillId="10" borderId="0" xfId="3" applyNumberFormat="1" applyFont="1" applyFill="1" applyAlignment="1">
      <alignment vertical="top"/>
    </xf>
    <xf numFmtId="9" fontId="5" fillId="0" borderId="0" xfId="3" applyFont="1" applyFill="1" applyAlignment="1">
      <alignment vertical="top"/>
    </xf>
    <xf numFmtId="9" fontId="2" fillId="10" borderId="0" xfId="3" applyFont="1" applyFill="1" applyBorder="1"/>
    <xf numFmtId="14" fontId="2" fillId="10" borderId="0" xfId="3" applyNumberFormat="1" applyFont="1" applyFill="1" applyBorder="1"/>
    <xf numFmtId="166" fontId="24" fillId="10" borderId="0" xfId="0" applyNumberFormat="1" applyFont="1" applyFill="1" applyAlignment="1">
      <alignment vertical="top" wrapText="1"/>
    </xf>
    <xf numFmtId="166" fontId="4" fillId="10" borderId="0" xfId="0" applyNumberFormat="1" applyFont="1" applyFill="1" applyAlignment="1">
      <alignment vertical="top" wrapText="1"/>
    </xf>
    <xf numFmtId="164" fontId="2" fillId="10" borderId="0" xfId="0" applyNumberFormat="1" applyFont="1" applyFill="1" applyAlignment="1">
      <alignment horizontal="left" vertical="center"/>
    </xf>
    <xf numFmtId="164" fontId="3" fillId="10" borderId="0" xfId="0" applyNumberFormat="1" applyFont="1" applyFill="1" applyAlignment="1">
      <alignment horizontal="right" vertical="center" wrapText="1"/>
    </xf>
    <xf numFmtId="9" fontId="3" fillId="10" borderId="0" xfId="3" applyFont="1" applyFill="1" applyAlignment="1">
      <alignment vertical="center" wrapText="1"/>
    </xf>
    <xf numFmtId="0" fontId="5" fillId="0" borderId="0" xfId="0" applyFont="1" applyAlignment="1">
      <alignment vertical="top"/>
    </xf>
    <xf numFmtId="164" fontId="3" fillId="10" borderId="0" xfId="0" applyNumberFormat="1" applyFont="1" applyFill="1" applyAlignment="1">
      <alignment horizontal="center" vertical="center"/>
    </xf>
    <xf numFmtId="0" fontId="2" fillId="10" borderId="0" xfId="0" applyFont="1" applyFill="1"/>
    <xf numFmtId="166" fontId="2" fillId="10" borderId="0" xfId="0" applyNumberFormat="1" applyFont="1" applyFill="1" applyAlignment="1">
      <alignment vertical="center" wrapText="1"/>
    </xf>
  </cellXfs>
  <cellStyles count="4">
    <cellStyle name="Comma" xfId="1" builtinId="3"/>
    <cellStyle name="Currency" xfId="2" builtinId="4"/>
    <cellStyle name="Normal" xfId="0" builtinId="0"/>
    <cellStyle name="Percent" xfId="3" builtinId="5"/>
  </cellStyles>
  <dxfs count="34">
    <dxf>
      <fill>
        <patternFill>
          <bgColor theme="4" tint="0.79998168889431442"/>
        </patternFill>
      </fill>
    </dxf>
    <dxf>
      <font>
        <color theme="0"/>
      </font>
      <fill>
        <patternFill>
          <bgColor rgb="FF7030A0"/>
        </patternFill>
      </fill>
    </dxf>
    <dxf>
      <fill>
        <patternFill>
          <bgColor theme="0" tint="-0.14996795556505021"/>
        </patternFill>
      </fill>
    </dxf>
    <dxf>
      <fill>
        <patternFill>
          <bgColor theme="7" tint="0.79998168889431442"/>
        </patternFill>
      </fill>
    </dxf>
    <dxf>
      <fill>
        <patternFill>
          <bgColor rgb="FF92D050"/>
        </patternFill>
      </fill>
    </dxf>
    <dxf>
      <font>
        <b val="0"/>
        <i val="0"/>
        <color auto="1"/>
      </font>
      <fill>
        <patternFill>
          <bgColor theme="5" tint="0.39994506668294322"/>
        </patternFill>
      </fill>
    </dxf>
    <dxf>
      <fill>
        <patternFill>
          <bgColor theme="9" tint="0.79998168889431442"/>
        </patternFill>
      </fill>
    </dxf>
    <dxf>
      <fill>
        <patternFill>
          <bgColor theme="0" tint="-0.14996795556505021"/>
        </patternFill>
      </fill>
    </dxf>
    <dxf>
      <fill>
        <patternFill>
          <bgColor rgb="FFFFFF00"/>
        </patternFill>
      </fill>
    </dxf>
    <dxf>
      <font>
        <color theme="1"/>
      </font>
      <fill>
        <patternFill>
          <bgColor rgb="FFFFD1D1"/>
        </patternFill>
      </fill>
    </dxf>
    <dxf>
      <font>
        <color theme="1"/>
      </font>
      <fill>
        <patternFill>
          <bgColor theme="9" tint="0.79998168889431442"/>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D1D1"/>
        </patternFill>
      </fill>
    </dxf>
    <dxf>
      <fill>
        <patternFill>
          <bgColor theme="9" tint="0.79998168889431442"/>
        </patternFill>
      </fill>
    </dxf>
    <dxf>
      <fill>
        <patternFill>
          <bgColor theme="5" tint="0.79998168889431442"/>
        </patternFill>
      </fill>
      <border>
        <vertical/>
        <horizontal/>
      </border>
    </dxf>
    <dxf>
      <fill>
        <patternFill>
          <bgColor theme="5" tint="0.79998168889431442"/>
        </patternFill>
      </fill>
      <border>
        <vertical/>
        <horizontal/>
      </border>
    </dxf>
    <dxf>
      <fill>
        <patternFill>
          <bgColor theme="5" tint="0.79998168889431442"/>
        </patternFill>
      </fill>
      <border>
        <vertical/>
        <horizontal/>
      </border>
    </dxf>
    <dxf>
      <fill>
        <patternFill>
          <bgColor rgb="FFFFC000"/>
        </patternFill>
      </fill>
    </dxf>
    <dxf>
      <fill>
        <patternFill>
          <bgColor rgb="FFFFFF00"/>
        </patternFill>
      </fill>
    </dxf>
    <dxf>
      <fill>
        <patternFill>
          <bgColor rgb="FF92D050"/>
        </patternFill>
      </fill>
    </dxf>
    <dxf>
      <fill>
        <patternFill>
          <bgColor theme="5" tint="0.79998168889431442"/>
        </patternFill>
      </fill>
      <border>
        <vertical/>
        <horizontal/>
      </border>
    </dxf>
    <dxf>
      <font>
        <b/>
        <i val="0"/>
        <color rgb="FFFF0000"/>
      </font>
    </dxf>
    <dxf>
      <fill>
        <patternFill>
          <bgColor rgb="FFFFC000"/>
        </patternFill>
      </fill>
    </dxf>
    <dxf>
      <fill>
        <patternFill>
          <bgColor theme="5" tint="0.79998168889431442"/>
        </patternFill>
      </fill>
    </dxf>
    <dxf>
      <fill>
        <patternFill>
          <bgColor theme="5" tint="0.59996337778862885"/>
        </patternFill>
      </fill>
    </dxf>
    <dxf>
      <fill>
        <patternFill>
          <bgColor rgb="FFFF99CC"/>
        </patternFill>
      </fill>
    </dxf>
    <dxf>
      <fill>
        <patternFill>
          <bgColor rgb="FF00B0F0"/>
        </patternFill>
      </fill>
    </dxf>
    <dxf>
      <fill>
        <patternFill>
          <bgColor rgb="FFCC00FF"/>
        </patternFill>
      </fill>
    </dxf>
    <dxf>
      <fill>
        <patternFill>
          <bgColor rgb="FFFF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documenttasks/documenttask1.xml><?xml version="1.0" encoding="utf-8"?>
<Tasks xmlns="http://schemas.microsoft.com/office/tasks/2019/documenttasks">
  <Task id="{57B12697-EE84-4CD2-922C-9765CB165693}">
    <Anchor>
      <Comment id="{8863D8F8-2A66-4583-93C9-214AF30555AB}"/>
    </Anchor>
    <History>
      <Event time="2026-07-08T17:08:30.66" id="{956CBCA5-BDCA-4955-910A-491330F1E4AA}">
        <Attribution userId="S::Elijah.E.Gallagher@usps.gov::ee4e8cb7-2a2a-4ad8-8893-363919a051d6" userName="Gallagher Jr, Elijah E - Wilkes Barre, PA" userProvider="AD"/>
        <Anchor>
          <Comment id="{8863D8F8-2A66-4583-93C9-214AF30555AB}"/>
        </Anchor>
        <Create/>
      </Event>
      <Event time="2026-07-08T17:08:30.66" id="{95F461B7-FEFC-46E1-A510-F147DB132B52}">
        <Attribution userId="S::Elijah.E.Gallagher@usps.gov::ee4e8cb7-2a2a-4ad8-8893-363919a051d6" userName="Gallagher Jr, Elijah E - Wilkes Barre, PA" userProvider="AD"/>
        <Anchor>
          <Comment id="{8863D8F8-2A66-4583-93C9-214AF30555AB}"/>
        </Anchor>
        <Assign userId="S::Thomas.J.Sromovski2@usps.gov::3b90ffef-b4f5-452e-9d9b-465adfb7058c" userName="Sromovski, Thomas J - Wilkes Barre, PA" userProvider="AD"/>
      </Event>
      <Event time="2026-07-08T17:08:30.66" id="{767B13A8-AB58-419D-88B4-BF1B24EC374D}">
        <Attribution userId="S::Elijah.E.Gallagher@usps.gov::ee4e8cb7-2a2a-4ad8-8893-363919a051d6" userName="Gallagher Jr, Elijah E - Wilkes Barre, PA" userProvider="AD"/>
        <Anchor>
          <Comment id="{8863D8F8-2A66-4583-93C9-214AF30555AB}"/>
        </Anchor>
        <SetTitle title="@Sromovski, Thomas J - Wilkes Barre, PA “Please use 661152 line 46 on the eBuy”"/>
      </Event>
    </History>
  </Task>
  <Task id="{FD08B1DB-3895-4048-B1AF-6E7AB918024A}">
    <Anchor>
      <Comment id="{3336643A-54CC-4667-B9CF-EFBE0F3EB319}"/>
    </Anchor>
    <History>
      <Event time="2026-07-08T17:08:45.93" id="{08081562-C2DE-4E16-A96A-7E3840BA913F}">
        <Attribution userId="S::Elijah.E.Gallagher@usps.gov::ee4e8cb7-2a2a-4ad8-8893-363919a051d6" userName="Gallagher Jr, Elijah E - Wilkes Barre, PA" userProvider="AD"/>
        <Anchor>
          <Comment id="{3336643A-54CC-4667-B9CF-EFBE0F3EB319}"/>
        </Anchor>
        <Create/>
      </Event>
      <Event time="2026-07-08T17:08:45.93" id="{B1D6A44B-7B6E-4739-AC05-11716D1883A9}">
        <Attribution userId="S::Elijah.E.Gallagher@usps.gov::ee4e8cb7-2a2a-4ad8-8893-363919a051d6" userName="Gallagher Jr, Elijah E - Wilkes Barre, PA" userProvider="AD"/>
        <Anchor>
          <Comment id="{3336643A-54CC-4667-B9CF-EFBE0F3EB319}"/>
        </Anchor>
        <Assign userId="S::Thomas.J.Sromovski2@usps.gov::3b90ffef-b4f5-452e-9d9b-465adfb7058c" userName="Sromovski, Thomas J - Wilkes Barre, PA" userProvider="AD"/>
      </Event>
      <Event time="2026-07-08T17:08:45.93" id="{5826FEDB-5D51-45AE-B278-7C7F3DBA96C8}">
        <Attribution userId="S::Elijah.E.Gallagher@usps.gov::ee4e8cb7-2a2a-4ad8-8893-363919a051d6" userName="Gallagher Jr, Elijah E - Wilkes Barre, PA" userProvider="AD"/>
        <Anchor>
          <Comment id="{3336643A-54CC-4667-B9CF-EFBE0F3EB319}"/>
        </Anchor>
        <SetTitle title="@Sromovski, Thomas J - Wilkes Barre, PA “Please use 661152 line 46 on the eBuy”"/>
      </Event>
    </History>
  </Task>
</Tasks>
</file>

<file path=xl/persons/person.xml><?xml version="1.0" encoding="utf-8"?>
<personList xmlns="http://schemas.microsoft.com/office/spreadsheetml/2018/threadedcomments" xmlns:x="http://schemas.openxmlformats.org/spreadsheetml/2006/main">
  <person displayName="Sromovski, Thomas J - Wilkes Barre, PA" id="{DBB2A3A6-61A8-4499-91CB-77CC34760BDB}" userId="Thomas.J.Sromovski2@usps.gov" providerId="PeoplePicker"/>
  <person displayName="Gallagher Jr, Elijah E - Wilkes Barre, PA" id="{418516D1-A260-4CA5-AD8E-1B165C93AC0B}" userId="S::Elijah.E.Gallagher@usps.gov::ee4e8cb7-2a2a-4ad8-8893-363919a051d6"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M92" dT="2026-07-08T17:08:45.93" personId="{418516D1-A260-4CA5-AD8E-1B165C93AC0B}" id="{3336643A-54CC-4667-B9CF-EFBE0F3EB319}">
    <text>@Sromovski, Thomas J - Wilkes Barre, PA “Please use 661152 line 46 on the eBuy”</text>
    <mentions>
      <mention mentionpersonId="{DBB2A3A6-61A8-4499-91CB-77CC34760BDB}" mentionId="{F350D541-13C6-4EB6-AD94-AD0B2A95EEE7}" startIndex="0" length="39"/>
    </mentions>
  </threadedComment>
  <threadedComment ref="M93" dT="2026-07-08T17:08:30.67" personId="{418516D1-A260-4CA5-AD8E-1B165C93AC0B}" id="{8863D8F8-2A66-4583-93C9-214AF30555AB}">
    <text>@Sromovski, Thomas J - Wilkes Barre, PA “Please use 661152 line 46 on the eBuy”</text>
    <mentions>
      <mention mentionpersonId="{DBB2A3A6-61A8-4499-91CB-77CC34760BDB}" mentionId="{EB21EF7B-FB66-47F9-BA8B-5A980CB8194A}" startIndex="0" length="39"/>
    </mentions>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usps.servicenowservices.com/now/nav/ui/classic/params/target/tsp2_demand.do%3Fsys_id%3D05d6e6da975cbed0f997b3b0f053af20%26sysparm_stack%3D%26sysparm_view%3DDefault%2Bview%26sysparm_view_forced%3Dtrue" TargetMode="External"/><Relationship Id="rId1" Type="http://schemas.openxmlformats.org/officeDocument/2006/relationships/hyperlink" Target="../../../:w:/r/sites/PackagePlatform795/Shared%20Documents/Documentation/Ship%20Priorities%20Documentation/Aggregate%20Transaction%20Reporting%20for%20Overridden%20Monthly%20Adjustments/Aggregate%20Transaction%20Reporting%20for%20Overridden%20Monthly%20Adjustments%20Requirements.docx?d=w97fac05d43b3401c91ba97b78dbe0468&amp;csf=1&amp;web=1&amp;e=wXIFf7" TargetMode="External"/><Relationship Id="rId6" Type="http://schemas.microsoft.com/office/2019/04/relationships/documenttask" Target="../documenttasks/documenttask1.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87B98-4826-4AE0-A185-E39508FF709B}">
  <dimension ref="A1:V816"/>
  <sheetViews>
    <sheetView tabSelected="1" workbookViewId="0">
      <selection sqref="A1:XFD1048576"/>
    </sheetView>
  </sheetViews>
  <sheetFormatPr defaultColWidth="17.5703125" defaultRowHeight="12" x14ac:dyDescent="0.2"/>
  <cols>
    <col min="1" max="3" width="4.5703125" style="65" customWidth="1"/>
    <col min="4" max="4" width="27.85546875" style="29" customWidth="1"/>
    <col min="5" max="5" width="21.28515625" style="30" customWidth="1"/>
    <col min="6" max="6" width="19" style="50" customWidth="1"/>
    <col min="7" max="7" width="6.42578125" style="50" customWidth="1"/>
    <col min="8" max="8" width="29.5703125" style="29" customWidth="1"/>
    <col min="9" max="9" width="8.5703125" style="67" customWidth="1"/>
    <col min="10" max="10" width="7.42578125" style="32" customWidth="1"/>
    <col min="11" max="11" width="16" style="108" customWidth="1"/>
    <col min="12" max="12" width="6.5703125" style="34" customWidth="1"/>
    <col min="13" max="13" width="17.5703125" style="35"/>
    <col min="14" max="14" width="7.5703125" style="42" customWidth="1"/>
    <col min="15" max="15" width="8.42578125" style="68" customWidth="1"/>
    <col min="16" max="16" width="9.42578125" style="68" customWidth="1"/>
    <col min="17" max="17" width="8.7109375" style="69" customWidth="1"/>
    <col min="18" max="19" width="7.5703125" style="40" customWidth="1"/>
    <col min="20" max="20" width="13.140625" style="40" customWidth="1"/>
    <col min="21" max="21" width="16.5703125" style="40" customWidth="1"/>
    <col min="22" max="22" width="3" style="9" bestFit="1" customWidth="1"/>
    <col min="23" max="16384" width="17.5703125" style="40"/>
  </cols>
  <sheetData>
    <row r="1" spans="1:22" s="10" customFormat="1" ht="31.5" customHeight="1" x14ac:dyDescent="0.2">
      <c r="A1" s="1" t="s">
        <v>0</v>
      </c>
      <c r="B1" s="1" t="s">
        <v>1</v>
      </c>
      <c r="C1" s="1" t="s">
        <v>2</v>
      </c>
      <c r="D1" s="2" t="s">
        <v>3</v>
      </c>
      <c r="E1" s="2" t="s">
        <v>4</v>
      </c>
      <c r="F1" s="2" t="s">
        <v>5</v>
      </c>
      <c r="G1" s="2" t="s">
        <v>6</v>
      </c>
      <c r="H1" s="2" t="s">
        <v>7</v>
      </c>
      <c r="I1" s="2" t="s">
        <v>8</v>
      </c>
      <c r="J1" s="2" t="s">
        <v>9</v>
      </c>
      <c r="K1" s="3" t="s">
        <v>10</v>
      </c>
      <c r="L1" s="4" t="s">
        <v>11</v>
      </c>
      <c r="M1" s="5" t="s">
        <v>12</v>
      </c>
      <c r="N1" s="6" t="s">
        <v>13</v>
      </c>
      <c r="O1" s="2" t="s">
        <v>14</v>
      </c>
      <c r="P1" s="2" t="s">
        <v>15</v>
      </c>
      <c r="Q1" s="7" t="s">
        <v>16</v>
      </c>
      <c r="R1" s="8" t="s">
        <v>17</v>
      </c>
      <c r="S1" s="8" t="s">
        <v>18</v>
      </c>
      <c r="T1" s="8" t="s">
        <v>19</v>
      </c>
      <c r="U1" s="8" t="s">
        <v>20</v>
      </c>
      <c r="V1" s="9"/>
    </row>
    <row r="2" spans="1:22" s="26" customFormat="1" x14ac:dyDescent="0.25">
      <c r="A2" s="11">
        <v>375</v>
      </c>
      <c r="B2" s="12">
        <v>1</v>
      </c>
      <c r="C2" s="11"/>
      <c r="D2" s="13" t="s">
        <v>21</v>
      </c>
      <c r="E2" s="14" t="s">
        <v>22</v>
      </c>
      <c r="F2" s="15" t="s">
        <v>23</v>
      </c>
      <c r="G2" s="15" t="s">
        <v>24</v>
      </c>
      <c r="H2" s="13" t="s">
        <v>25</v>
      </c>
      <c r="I2" s="16">
        <f>71852+239700+120015</f>
        <v>431567</v>
      </c>
      <c r="J2" s="17" t="s">
        <v>26</v>
      </c>
      <c r="K2" s="18" t="s">
        <v>27</v>
      </c>
      <c r="L2" s="19">
        <f>IF(ISNUMBER(I2), I2/150, "")</f>
        <v>2877.1133333333332</v>
      </c>
      <c r="M2" s="20" t="s">
        <v>28</v>
      </c>
      <c r="N2" s="21">
        <v>46250</v>
      </c>
      <c r="O2" s="22" t="s">
        <v>29</v>
      </c>
      <c r="P2" s="15"/>
      <c r="Q2" s="23"/>
      <c r="R2" s="24"/>
      <c r="S2" s="24"/>
      <c r="T2" s="24"/>
      <c r="U2" s="24"/>
      <c r="V2" s="25"/>
    </row>
    <row r="3" spans="1:22" ht="11.25" customHeight="1" x14ac:dyDescent="0.2">
      <c r="A3" s="27">
        <v>540</v>
      </c>
      <c r="B3" s="28">
        <v>2</v>
      </c>
      <c r="C3" s="27">
        <v>55</v>
      </c>
      <c r="D3" s="29" t="s">
        <v>30</v>
      </c>
      <c r="E3" s="30" t="s">
        <v>31</v>
      </c>
      <c r="F3" s="31" t="s">
        <v>32</v>
      </c>
      <c r="G3" s="31" t="s">
        <v>33</v>
      </c>
      <c r="H3" s="29" t="s">
        <v>34</v>
      </c>
      <c r="I3" s="16">
        <v>16000</v>
      </c>
      <c r="J3" s="32" t="s">
        <v>35</v>
      </c>
      <c r="K3" s="33" t="s">
        <v>36</v>
      </c>
      <c r="L3" s="34">
        <f>IF(ISNUMBER(I3), I3/150, "")</f>
        <v>106.66666666666667</v>
      </c>
      <c r="M3" s="35" t="s">
        <v>28</v>
      </c>
      <c r="N3" s="36">
        <v>46250</v>
      </c>
      <c r="O3" s="37" t="s">
        <v>29</v>
      </c>
      <c r="P3" s="38"/>
      <c r="Q3" s="39"/>
    </row>
    <row r="4" spans="1:22" ht="12" customHeight="1" x14ac:dyDescent="0.2">
      <c r="A4" s="27">
        <v>643</v>
      </c>
      <c r="B4" s="41">
        <v>3</v>
      </c>
      <c r="C4" s="27"/>
      <c r="D4" s="29" t="s">
        <v>37</v>
      </c>
      <c r="E4" s="30" t="s">
        <v>38</v>
      </c>
      <c r="F4" s="31" t="s">
        <v>39</v>
      </c>
      <c r="G4" s="31" t="s">
        <v>24</v>
      </c>
      <c r="H4" s="29" t="s">
        <v>40</v>
      </c>
      <c r="I4" s="16">
        <v>240000</v>
      </c>
      <c r="J4" s="32" t="s">
        <v>41</v>
      </c>
      <c r="K4" s="33" t="s">
        <v>42</v>
      </c>
      <c r="L4" s="34">
        <f>IF(ISNUMBER(I4), I4/150, "")</f>
        <v>1600</v>
      </c>
      <c r="M4" s="35" t="s">
        <v>43</v>
      </c>
      <c r="N4" s="42">
        <v>46285</v>
      </c>
      <c r="O4" s="43" t="s">
        <v>44</v>
      </c>
      <c r="P4" s="38" t="s">
        <v>45</v>
      </c>
      <c r="Q4" s="39">
        <v>46090</v>
      </c>
    </row>
    <row r="5" spans="1:22" ht="12" customHeight="1" x14ac:dyDescent="0.2">
      <c r="A5" s="27">
        <v>697</v>
      </c>
      <c r="B5" s="41">
        <v>4</v>
      </c>
      <c r="C5" s="27"/>
      <c r="D5" s="29" t="s">
        <v>46</v>
      </c>
      <c r="F5" s="31" t="s">
        <v>47</v>
      </c>
      <c r="G5" s="31" t="s">
        <v>48</v>
      </c>
      <c r="H5" s="29" t="s">
        <v>49</v>
      </c>
      <c r="I5" s="16">
        <v>3200</v>
      </c>
      <c r="J5" s="32" t="s">
        <v>35</v>
      </c>
      <c r="K5" s="33" t="s">
        <v>50</v>
      </c>
      <c r="L5" s="34">
        <f>IF(ISNUMBER(I5), I5/150, "")</f>
        <v>21.333333333333332</v>
      </c>
      <c r="M5" s="44" t="s">
        <v>43</v>
      </c>
      <c r="N5" s="42">
        <v>46285</v>
      </c>
      <c r="O5" s="45" t="s">
        <v>44</v>
      </c>
      <c r="P5" s="38"/>
      <c r="Q5" s="39"/>
    </row>
    <row r="6" spans="1:22" ht="12.75" customHeight="1" x14ac:dyDescent="0.2">
      <c r="A6" s="27">
        <v>687</v>
      </c>
      <c r="B6" s="41">
        <v>5</v>
      </c>
      <c r="C6" s="27"/>
      <c r="D6" s="29" t="s">
        <v>51</v>
      </c>
      <c r="E6" s="30" t="s">
        <v>52</v>
      </c>
      <c r="F6" s="46" t="s">
        <v>53</v>
      </c>
      <c r="G6" s="31" t="s">
        <v>48</v>
      </c>
      <c r="H6" s="29" t="s">
        <v>54</v>
      </c>
      <c r="I6" s="16">
        <v>51200</v>
      </c>
      <c r="J6" s="32" t="s">
        <v>35</v>
      </c>
      <c r="K6" s="47" t="s">
        <v>55</v>
      </c>
      <c r="L6" s="34">
        <f>IF(ISNUMBER(I6), I6/150, "")</f>
        <v>341.33333333333331</v>
      </c>
      <c r="M6" s="35" t="s">
        <v>56</v>
      </c>
      <c r="N6" s="42">
        <v>46285</v>
      </c>
      <c r="O6" s="43" t="s">
        <v>44</v>
      </c>
      <c r="P6" s="38" t="s">
        <v>57</v>
      </c>
      <c r="Q6" s="39">
        <v>46160</v>
      </c>
      <c r="R6" s="24"/>
      <c r="S6" s="24"/>
      <c r="T6" s="24"/>
      <c r="U6" s="24"/>
    </row>
    <row r="7" spans="1:22" ht="12" customHeight="1" x14ac:dyDescent="0.2">
      <c r="A7" s="27">
        <v>590</v>
      </c>
      <c r="B7" s="41">
        <v>6</v>
      </c>
      <c r="C7" s="48">
        <v>10</v>
      </c>
      <c r="D7" s="29" t="s">
        <v>58</v>
      </c>
      <c r="E7" s="49" t="s">
        <v>59</v>
      </c>
      <c r="F7" s="31" t="s">
        <v>60</v>
      </c>
      <c r="G7" s="50" t="s">
        <v>33</v>
      </c>
      <c r="H7" s="29" t="s">
        <v>61</v>
      </c>
      <c r="I7" s="16">
        <v>64500</v>
      </c>
      <c r="J7" s="32" t="s">
        <v>35</v>
      </c>
      <c r="K7" s="51" t="s">
        <v>62</v>
      </c>
      <c r="L7" s="34">
        <f>IF(ISNUMBER(I7), I7/150, "")</f>
        <v>430</v>
      </c>
      <c r="M7" s="35" t="s">
        <v>63</v>
      </c>
      <c r="N7" s="42">
        <v>46285</v>
      </c>
      <c r="O7" s="43" t="s">
        <v>44</v>
      </c>
      <c r="P7" s="38"/>
      <c r="Q7" s="39"/>
    </row>
    <row r="8" spans="1:22" ht="12" customHeight="1" x14ac:dyDescent="0.2">
      <c r="A8" s="52">
        <v>726</v>
      </c>
      <c r="B8" s="28">
        <v>7</v>
      </c>
      <c r="C8" s="53"/>
      <c r="D8" s="54" t="s">
        <v>64</v>
      </c>
      <c r="E8" s="55" t="s">
        <v>65</v>
      </c>
      <c r="F8" s="29" t="s">
        <v>66</v>
      </c>
      <c r="G8" s="46" t="s">
        <v>24</v>
      </c>
      <c r="H8" s="29" t="s">
        <v>67</v>
      </c>
      <c r="I8" s="16">
        <v>102400</v>
      </c>
      <c r="J8" s="32" t="s">
        <v>35</v>
      </c>
      <c r="K8" s="33" t="s">
        <v>68</v>
      </c>
      <c r="L8" s="34">
        <f>IF(ISNUMBER(I8), I8/150, "")</f>
        <v>682.66666666666663</v>
      </c>
      <c r="M8" s="35" t="s">
        <v>69</v>
      </c>
      <c r="N8" s="36">
        <v>46250</v>
      </c>
      <c r="O8" s="37" t="s">
        <v>29</v>
      </c>
      <c r="P8" s="35" t="s">
        <v>45</v>
      </c>
      <c r="Q8" s="56">
        <v>46204</v>
      </c>
    </row>
    <row r="9" spans="1:22" ht="12" customHeight="1" x14ac:dyDescent="0.2">
      <c r="A9" s="57">
        <v>696</v>
      </c>
      <c r="B9" s="58">
        <v>8</v>
      </c>
      <c r="C9" s="57"/>
      <c r="D9" s="29" t="s">
        <v>70</v>
      </c>
      <c r="E9" s="30" t="s">
        <v>71</v>
      </c>
      <c r="F9" s="31" t="s">
        <v>66</v>
      </c>
      <c r="G9" s="31" t="s">
        <v>24</v>
      </c>
      <c r="H9" s="59" t="s">
        <v>72</v>
      </c>
      <c r="I9" s="60">
        <v>190500</v>
      </c>
      <c r="J9" s="61" t="s">
        <v>73</v>
      </c>
      <c r="K9" s="33" t="s">
        <v>74</v>
      </c>
      <c r="L9" s="34">
        <f>IF(ISNUMBER(I9), I9/150, "")</f>
        <v>1270</v>
      </c>
      <c r="M9" s="46" t="s">
        <v>43</v>
      </c>
      <c r="N9" s="42">
        <v>46285</v>
      </c>
      <c r="O9" s="43" t="s">
        <v>44</v>
      </c>
      <c r="P9" s="31"/>
      <c r="Q9" s="62"/>
    </row>
    <row r="10" spans="1:22" ht="12.75" customHeight="1" x14ac:dyDescent="0.2">
      <c r="A10" s="27">
        <v>462</v>
      </c>
      <c r="B10" s="28">
        <v>9</v>
      </c>
      <c r="C10" s="27"/>
      <c r="D10" s="29" t="s">
        <v>75</v>
      </c>
      <c r="E10" s="49" t="s">
        <v>76</v>
      </c>
      <c r="F10" s="31" t="s">
        <v>77</v>
      </c>
      <c r="G10" s="31" t="s">
        <v>24</v>
      </c>
      <c r="I10" s="60">
        <v>285900</v>
      </c>
      <c r="J10" s="63" t="s">
        <v>73</v>
      </c>
      <c r="K10" s="47" t="s">
        <v>74</v>
      </c>
      <c r="L10" s="34">
        <f>IF(ISNUMBER(I10), I10/150, "")</f>
        <v>1906</v>
      </c>
      <c r="M10" s="35" t="s">
        <v>28</v>
      </c>
      <c r="N10" s="42" t="s">
        <v>78</v>
      </c>
      <c r="O10" s="43"/>
      <c r="P10" s="38"/>
      <c r="Q10" s="39"/>
    </row>
    <row r="11" spans="1:22" ht="12" customHeight="1" x14ac:dyDescent="0.2">
      <c r="A11" s="27">
        <v>601</v>
      </c>
      <c r="B11" s="28">
        <v>10</v>
      </c>
      <c r="C11" s="27"/>
      <c r="D11" s="29" t="s">
        <v>79</v>
      </c>
      <c r="E11" s="30" t="s">
        <v>80</v>
      </c>
      <c r="F11" s="31" t="s">
        <v>32</v>
      </c>
      <c r="G11" s="31" t="s">
        <v>81</v>
      </c>
      <c r="H11" s="29" t="s">
        <v>82</v>
      </c>
      <c r="I11" s="16">
        <v>50000</v>
      </c>
      <c r="J11" s="32" t="s">
        <v>35</v>
      </c>
      <c r="K11" s="33" t="s">
        <v>83</v>
      </c>
      <c r="L11" s="34">
        <f>IF(ISNUMBER(I11), I11/150, "")</f>
        <v>333.33333333333331</v>
      </c>
      <c r="M11" s="35" t="s">
        <v>69</v>
      </c>
      <c r="N11" s="36">
        <v>46250</v>
      </c>
      <c r="O11" s="64" t="s">
        <v>29</v>
      </c>
      <c r="P11" s="38"/>
      <c r="Q11" s="39"/>
    </row>
    <row r="12" spans="1:22" s="24" customFormat="1" ht="12.75" customHeight="1" x14ac:dyDescent="0.2">
      <c r="A12" s="65">
        <v>739</v>
      </c>
      <c r="B12" s="66">
        <v>11</v>
      </c>
      <c r="C12" s="65"/>
      <c r="D12" s="59" t="s">
        <v>84</v>
      </c>
      <c r="E12" s="30"/>
      <c r="F12" s="50" t="s">
        <v>85</v>
      </c>
      <c r="G12" s="50" t="s">
        <v>24</v>
      </c>
      <c r="H12" s="59" t="s">
        <v>86</v>
      </c>
      <c r="I12" s="67"/>
      <c r="J12" s="32" t="s">
        <v>35</v>
      </c>
      <c r="K12" s="33" t="s">
        <v>87</v>
      </c>
      <c r="L12" s="34"/>
      <c r="M12" s="35" t="s">
        <v>63</v>
      </c>
      <c r="N12" s="42"/>
      <c r="O12" s="68"/>
      <c r="P12" s="68" t="s">
        <v>88</v>
      </c>
      <c r="Q12" s="69">
        <v>46218</v>
      </c>
      <c r="R12" s="40"/>
      <c r="S12" s="40"/>
      <c r="T12" s="40"/>
      <c r="U12" s="40"/>
      <c r="V12" s="9"/>
    </row>
    <row r="13" spans="1:22" ht="12.75" customHeight="1" x14ac:dyDescent="0.2">
      <c r="A13" s="27">
        <v>659</v>
      </c>
      <c r="B13" s="41">
        <v>12</v>
      </c>
      <c r="C13" s="27"/>
      <c r="D13" s="29" t="s">
        <v>89</v>
      </c>
      <c r="E13" s="49"/>
      <c r="F13" s="31" t="s">
        <v>90</v>
      </c>
      <c r="G13" s="31" t="s">
        <v>24</v>
      </c>
      <c r="H13" s="29" t="s">
        <v>91</v>
      </c>
      <c r="I13" s="16">
        <v>5250</v>
      </c>
      <c r="J13" s="32" t="s">
        <v>35</v>
      </c>
      <c r="K13" s="33" t="s">
        <v>92</v>
      </c>
      <c r="L13" s="34">
        <f>IF(ISNUMBER(I13), I13/150, "")</f>
        <v>35</v>
      </c>
      <c r="M13" s="35" t="s">
        <v>43</v>
      </c>
      <c r="N13" s="70">
        <v>46285</v>
      </c>
      <c r="O13" s="71" t="s">
        <v>44</v>
      </c>
      <c r="P13" s="38" t="s">
        <v>93</v>
      </c>
      <c r="Q13" s="39">
        <v>46120</v>
      </c>
    </row>
    <row r="14" spans="1:22" ht="12" customHeight="1" x14ac:dyDescent="0.2">
      <c r="A14" s="27">
        <v>705</v>
      </c>
      <c r="B14" s="28">
        <v>13</v>
      </c>
      <c r="C14" s="27"/>
      <c r="D14" s="29" t="s">
        <v>94</v>
      </c>
      <c r="F14" s="50" t="s">
        <v>95</v>
      </c>
      <c r="G14" s="50" t="s">
        <v>24</v>
      </c>
      <c r="H14" s="29" t="s">
        <v>96</v>
      </c>
      <c r="J14" s="32" t="s">
        <v>35</v>
      </c>
      <c r="K14" s="47" t="s">
        <v>97</v>
      </c>
      <c r="L14" s="34" t="str">
        <f>IF(ISNUMBER(I14), I14/150, "")</f>
        <v/>
      </c>
      <c r="M14" s="35" t="s">
        <v>43</v>
      </c>
      <c r="N14" s="70">
        <v>46285</v>
      </c>
      <c r="O14" s="71" t="s">
        <v>44</v>
      </c>
      <c r="P14" s="68" t="s">
        <v>98</v>
      </c>
      <c r="Q14" s="69">
        <v>46188</v>
      </c>
    </row>
    <row r="15" spans="1:22" ht="12" customHeight="1" x14ac:dyDescent="0.2">
      <c r="A15" s="72">
        <v>384</v>
      </c>
      <c r="B15" s="28">
        <v>14</v>
      </c>
      <c r="C15" s="48">
        <v>1</v>
      </c>
      <c r="D15" s="29" t="s">
        <v>99</v>
      </c>
      <c r="E15" s="73" t="s">
        <v>100</v>
      </c>
      <c r="F15" s="31" t="s">
        <v>101</v>
      </c>
      <c r="G15" s="74" t="s">
        <v>48</v>
      </c>
      <c r="H15" s="29" t="s">
        <v>102</v>
      </c>
      <c r="I15" s="16">
        <v>100000</v>
      </c>
      <c r="J15" s="32" t="s">
        <v>35</v>
      </c>
      <c r="K15" s="75" t="s">
        <v>103</v>
      </c>
      <c r="L15" s="34">
        <f>IF(ISNUMBER(I15), I15/150, "")</f>
        <v>666.66666666666663</v>
      </c>
      <c r="M15" s="76" t="s">
        <v>56</v>
      </c>
      <c r="N15" s="77" t="s">
        <v>104</v>
      </c>
      <c r="P15" s="38"/>
      <c r="Q15" s="39"/>
    </row>
    <row r="16" spans="1:22" ht="12.75" customHeight="1" x14ac:dyDescent="0.2">
      <c r="A16" s="72">
        <v>543</v>
      </c>
      <c r="B16" s="41">
        <v>15</v>
      </c>
      <c r="C16" s="48">
        <v>2</v>
      </c>
      <c r="D16" s="78" t="s">
        <v>105</v>
      </c>
      <c r="E16" s="79" t="s">
        <v>100</v>
      </c>
      <c r="F16" s="31" t="s">
        <v>106</v>
      </c>
      <c r="G16" s="31" t="s">
        <v>48</v>
      </c>
      <c r="H16" s="29" t="s">
        <v>107</v>
      </c>
      <c r="I16" s="16">
        <f>50000</f>
        <v>50000</v>
      </c>
      <c r="J16" s="32" t="s">
        <v>35</v>
      </c>
      <c r="K16" s="75" t="s">
        <v>103</v>
      </c>
      <c r="L16" s="34">
        <f>IF(ISNUMBER(I16), I16/150, "")</f>
        <v>333.33333333333331</v>
      </c>
      <c r="M16" s="76" t="s">
        <v>56</v>
      </c>
      <c r="N16" s="77" t="s">
        <v>104</v>
      </c>
      <c r="O16" s="35"/>
      <c r="P16" s="38"/>
      <c r="Q16" s="39"/>
    </row>
    <row r="17" spans="1:17" ht="12" customHeight="1" x14ac:dyDescent="0.2">
      <c r="A17" s="52">
        <v>719</v>
      </c>
      <c r="B17" s="80">
        <v>16</v>
      </c>
      <c r="C17" s="52"/>
      <c r="D17" s="29" t="s">
        <v>108</v>
      </c>
      <c r="E17" s="55" t="s">
        <v>65</v>
      </c>
      <c r="F17" s="46" t="s">
        <v>109</v>
      </c>
      <c r="G17" s="46" t="s">
        <v>24</v>
      </c>
      <c r="H17" s="29" t="s">
        <v>110</v>
      </c>
      <c r="I17" s="16">
        <v>17600</v>
      </c>
      <c r="J17" s="32" t="s">
        <v>35</v>
      </c>
      <c r="K17" s="47" t="s">
        <v>111</v>
      </c>
      <c r="L17" s="34">
        <f>IF(ISNUMBER(I17), I17/150, "")</f>
        <v>117.33333333333333</v>
      </c>
      <c r="M17" s="35" t="s">
        <v>112</v>
      </c>
      <c r="N17" s="42">
        <v>46285</v>
      </c>
      <c r="O17" s="43" t="s">
        <v>44</v>
      </c>
      <c r="P17" s="35" t="s">
        <v>45</v>
      </c>
      <c r="Q17" s="56">
        <v>46204</v>
      </c>
    </row>
    <row r="18" spans="1:17" ht="12.75" customHeight="1" x14ac:dyDescent="0.2">
      <c r="A18" s="52">
        <v>722</v>
      </c>
      <c r="B18" s="41">
        <v>17</v>
      </c>
      <c r="C18" s="52"/>
      <c r="D18" s="29" t="s">
        <v>113</v>
      </c>
      <c r="E18" s="55" t="s">
        <v>65</v>
      </c>
      <c r="F18" s="29" t="s">
        <v>114</v>
      </c>
      <c r="G18" s="46" t="s">
        <v>24</v>
      </c>
      <c r="H18" s="29" t="s">
        <v>113</v>
      </c>
      <c r="I18" s="16">
        <v>64000</v>
      </c>
      <c r="J18" s="32" t="s">
        <v>35</v>
      </c>
      <c r="K18" s="81" t="s">
        <v>115</v>
      </c>
      <c r="L18" s="34">
        <f>IF(ISNUMBER(I18), I18/150, "")</f>
        <v>426.66666666666669</v>
      </c>
      <c r="M18" s="35" t="s">
        <v>116</v>
      </c>
      <c r="N18" s="42">
        <v>46285</v>
      </c>
      <c r="O18" s="43" t="s">
        <v>44</v>
      </c>
      <c r="P18" s="35" t="s">
        <v>45</v>
      </c>
      <c r="Q18" s="56">
        <v>46204</v>
      </c>
    </row>
    <row r="19" spans="1:17" ht="12.75" customHeight="1" x14ac:dyDescent="0.2">
      <c r="A19" s="52">
        <v>723</v>
      </c>
      <c r="B19" s="82">
        <v>18</v>
      </c>
      <c r="C19" s="52"/>
      <c r="D19" s="29" t="s">
        <v>117</v>
      </c>
      <c r="E19" s="55" t="s">
        <v>65</v>
      </c>
      <c r="F19" s="29" t="s">
        <v>118</v>
      </c>
      <c r="G19" s="46" t="s">
        <v>24</v>
      </c>
      <c r="H19" s="29" t="s">
        <v>119</v>
      </c>
      <c r="I19" s="16">
        <v>32000</v>
      </c>
      <c r="J19" s="32" t="s">
        <v>35</v>
      </c>
      <c r="K19" s="47" t="s">
        <v>55</v>
      </c>
      <c r="L19" s="34">
        <f>IF(ISNUMBER(I19), I19/150, "")</f>
        <v>213.33333333333334</v>
      </c>
      <c r="M19" s="35" t="s">
        <v>112</v>
      </c>
      <c r="N19" s="42">
        <v>46285</v>
      </c>
      <c r="O19" s="43" t="s">
        <v>44</v>
      </c>
      <c r="P19" s="35" t="s">
        <v>45</v>
      </c>
      <c r="Q19" s="56">
        <v>46204</v>
      </c>
    </row>
    <row r="20" spans="1:17" ht="12.75" customHeight="1" x14ac:dyDescent="0.2">
      <c r="A20" s="27">
        <v>619</v>
      </c>
      <c r="B20" s="83">
        <v>19</v>
      </c>
      <c r="D20" s="29" t="s">
        <v>120</v>
      </c>
      <c r="E20" s="49" t="s">
        <v>121</v>
      </c>
      <c r="F20" s="31" t="s">
        <v>122</v>
      </c>
      <c r="G20" s="50" t="s">
        <v>24</v>
      </c>
      <c r="H20" s="29" t="s">
        <v>123</v>
      </c>
      <c r="I20" s="16">
        <v>50000</v>
      </c>
      <c r="J20" s="32" t="s">
        <v>124</v>
      </c>
      <c r="K20" s="75" t="s">
        <v>125</v>
      </c>
      <c r="L20" s="34">
        <f>IF(ISNUMBER(I20), I20/150, "")</f>
        <v>333.33333333333331</v>
      </c>
      <c r="M20" s="76" t="s">
        <v>43</v>
      </c>
      <c r="N20" s="70">
        <v>46285</v>
      </c>
      <c r="O20" s="84" t="s">
        <v>44</v>
      </c>
    </row>
    <row r="21" spans="1:17" ht="12.75" customHeight="1" x14ac:dyDescent="0.2">
      <c r="A21" s="27">
        <v>702</v>
      </c>
      <c r="B21" s="82">
        <v>20</v>
      </c>
      <c r="C21" s="27"/>
      <c r="D21" s="29" t="s">
        <v>126</v>
      </c>
      <c r="F21" s="50" t="s">
        <v>127</v>
      </c>
      <c r="G21" s="50" t="s">
        <v>24</v>
      </c>
      <c r="H21" s="29" t="s">
        <v>128</v>
      </c>
      <c r="I21" s="67">
        <v>48000</v>
      </c>
      <c r="J21" s="32" t="s">
        <v>35</v>
      </c>
      <c r="K21" s="85" t="s">
        <v>111</v>
      </c>
      <c r="L21" s="34">
        <f>IF(ISNUMBER(I21), I21/150, "")</f>
        <v>320</v>
      </c>
      <c r="M21" s="35" t="s">
        <v>69</v>
      </c>
      <c r="N21" s="42">
        <v>46250</v>
      </c>
      <c r="O21" s="43" t="s">
        <v>29</v>
      </c>
      <c r="P21" s="68" t="s">
        <v>45</v>
      </c>
      <c r="Q21" s="69">
        <v>46181</v>
      </c>
    </row>
    <row r="22" spans="1:17" ht="14.25" customHeight="1" x14ac:dyDescent="0.2">
      <c r="A22" s="27">
        <v>657</v>
      </c>
      <c r="B22" s="82">
        <v>21</v>
      </c>
      <c r="C22" s="48">
        <v>8</v>
      </c>
      <c r="D22" s="29" t="s">
        <v>129</v>
      </c>
      <c r="E22" s="49" t="s">
        <v>130</v>
      </c>
      <c r="F22" s="31" t="s">
        <v>131</v>
      </c>
      <c r="G22" s="50" t="s">
        <v>33</v>
      </c>
      <c r="H22" s="29" t="s">
        <v>132</v>
      </c>
      <c r="I22" s="16"/>
      <c r="J22" s="32" t="s">
        <v>35</v>
      </c>
      <c r="K22" s="75" t="s">
        <v>87</v>
      </c>
      <c r="L22" s="34" t="str">
        <f>IF(ISNUMBER(I22), I22/150, "")</f>
        <v/>
      </c>
      <c r="M22" s="86" t="s">
        <v>116</v>
      </c>
      <c r="N22" s="87" t="s">
        <v>104</v>
      </c>
      <c r="P22" s="68" t="s">
        <v>133</v>
      </c>
      <c r="Q22" s="69">
        <v>46120</v>
      </c>
    </row>
    <row r="23" spans="1:17" ht="12.75" customHeight="1" x14ac:dyDescent="0.2">
      <c r="A23" s="27">
        <v>575</v>
      </c>
      <c r="B23" s="82">
        <v>22</v>
      </c>
      <c r="C23" s="48">
        <v>9</v>
      </c>
      <c r="D23" s="29" t="s">
        <v>134</v>
      </c>
      <c r="E23" s="88" t="s">
        <v>135</v>
      </c>
      <c r="F23" s="31" t="s">
        <v>136</v>
      </c>
      <c r="G23" s="31" t="s">
        <v>48</v>
      </c>
      <c r="H23" s="29" t="s">
        <v>137</v>
      </c>
      <c r="I23" s="16">
        <v>50000</v>
      </c>
      <c r="J23" s="32" t="s">
        <v>35</v>
      </c>
      <c r="K23" s="75" t="s">
        <v>74</v>
      </c>
      <c r="L23" s="34">
        <f>IF(ISNUMBER(I23), I23/150, "")</f>
        <v>333.33333333333331</v>
      </c>
      <c r="M23" s="76" t="s">
        <v>116</v>
      </c>
      <c r="N23" s="77" t="s">
        <v>104</v>
      </c>
      <c r="P23" s="38"/>
      <c r="Q23" s="39"/>
    </row>
    <row r="24" spans="1:17" ht="13.5" customHeight="1" x14ac:dyDescent="0.2">
      <c r="A24" s="65">
        <v>640</v>
      </c>
      <c r="B24" s="82">
        <v>23</v>
      </c>
      <c r="C24" s="48">
        <v>11</v>
      </c>
      <c r="D24" s="29" t="s">
        <v>138</v>
      </c>
      <c r="E24" s="88" t="s">
        <v>135</v>
      </c>
      <c r="F24" s="31" t="s">
        <v>136</v>
      </c>
      <c r="G24" s="50" t="s">
        <v>24</v>
      </c>
      <c r="H24" s="29" t="s">
        <v>139</v>
      </c>
      <c r="I24" s="16">
        <f>200000+5000</f>
        <v>205000</v>
      </c>
      <c r="J24" s="32" t="s">
        <v>35</v>
      </c>
      <c r="K24" s="75" t="s">
        <v>140</v>
      </c>
      <c r="L24" s="34">
        <f>IF(ISNUMBER(I24), I24/150, "")</f>
        <v>1366.6666666666667</v>
      </c>
      <c r="M24" s="76" t="s">
        <v>56</v>
      </c>
      <c r="N24" s="77" t="s">
        <v>104</v>
      </c>
      <c r="P24" s="68" t="s">
        <v>141</v>
      </c>
      <c r="Q24" s="69">
        <v>46087</v>
      </c>
    </row>
    <row r="25" spans="1:17" ht="13.5" customHeight="1" x14ac:dyDescent="0.2">
      <c r="A25" s="27">
        <v>516</v>
      </c>
      <c r="B25" s="82">
        <v>24</v>
      </c>
      <c r="C25" s="48">
        <v>13</v>
      </c>
      <c r="D25" s="89" t="s">
        <v>142</v>
      </c>
      <c r="E25" s="88" t="s">
        <v>130</v>
      </c>
      <c r="F25" s="31" t="s">
        <v>131</v>
      </c>
      <c r="G25" s="31" t="s">
        <v>33</v>
      </c>
      <c r="H25" s="29" t="s">
        <v>143</v>
      </c>
      <c r="I25" s="16">
        <v>100000</v>
      </c>
      <c r="J25" s="90" t="s">
        <v>35</v>
      </c>
      <c r="K25" s="75" t="s">
        <v>87</v>
      </c>
      <c r="L25" s="34">
        <f>IF(ISNUMBER(I25), I25/150, "")</f>
        <v>666.66666666666663</v>
      </c>
      <c r="M25" s="76" t="s">
        <v>56</v>
      </c>
      <c r="N25" s="77" t="s">
        <v>104</v>
      </c>
      <c r="P25" s="91"/>
      <c r="Q25" s="92"/>
    </row>
    <row r="26" spans="1:17" ht="12" customHeight="1" x14ac:dyDescent="0.2">
      <c r="A26" s="27">
        <v>473</v>
      </c>
      <c r="B26" s="28">
        <v>25</v>
      </c>
      <c r="C26" s="48">
        <v>12</v>
      </c>
      <c r="D26" s="29" t="s">
        <v>144</v>
      </c>
      <c r="E26" s="88" t="s">
        <v>135</v>
      </c>
      <c r="F26" s="31" t="s">
        <v>145</v>
      </c>
      <c r="G26" s="31" t="s">
        <v>33</v>
      </c>
      <c r="H26" s="29" t="s">
        <v>146</v>
      </c>
      <c r="I26" s="16">
        <v>100000</v>
      </c>
      <c r="J26" s="32" t="s">
        <v>35</v>
      </c>
      <c r="K26" s="75" t="s">
        <v>74</v>
      </c>
      <c r="L26" s="34">
        <f>IF(ISNUMBER(I26), I26/150, "")</f>
        <v>666.66666666666663</v>
      </c>
      <c r="M26" s="76" t="s">
        <v>116</v>
      </c>
      <c r="N26" s="77" t="s">
        <v>104</v>
      </c>
      <c r="P26" s="38"/>
      <c r="Q26" s="39"/>
    </row>
    <row r="27" spans="1:17" ht="12" customHeight="1" x14ac:dyDescent="0.2">
      <c r="A27" s="53">
        <v>729</v>
      </c>
      <c r="B27" s="28">
        <v>26</v>
      </c>
      <c r="C27" s="53"/>
      <c r="D27" s="9" t="s">
        <v>147</v>
      </c>
      <c r="E27" s="9" t="s">
        <v>65</v>
      </c>
      <c r="F27" s="9" t="s">
        <v>148</v>
      </c>
      <c r="G27" s="46" t="s">
        <v>24</v>
      </c>
      <c r="H27" s="9" t="s">
        <v>149</v>
      </c>
      <c r="I27" s="16"/>
      <c r="J27" s="32" t="s">
        <v>35</v>
      </c>
      <c r="K27" s="47" t="s">
        <v>74</v>
      </c>
      <c r="L27" s="34" t="str">
        <f>IF(ISNUMBER(I27), I27/150, "")</f>
        <v/>
      </c>
      <c r="M27" s="35" t="s">
        <v>112</v>
      </c>
      <c r="N27" s="93">
        <v>46341</v>
      </c>
      <c r="O27" s="35"/>
      <c r="P27" s="35" t="s">
        <v>45</v>
      </c>
      <c r="Q27" s="56">
        <v>46204</v>
      </c>
    </row>
    <row r="28" spans="1:17" ht="12" customHeight="1" x14ac:dyDescent="0.2">
      <c r="A28" s="52">
        <v>720</v>
      </c>
      <c r="B28" s="41">
        <v>27</v>
      </c>
      <c r="C28" s="52"/>
      <c r="D28" s="29" t="s">
        <v>150</v>
      </c>
      <c r="E28" s="55" t="s">
        <v>65</v>
      </c>
      <c r="F28" s="46" t="s">
        <v>151</v>
      </c>
      <c r="G28" s="46" t="s">
        <v>24</v>
      </c>
      <c r="H28" s="29" t="s">
        <v>152</v>
      </c>
      <c r="I28" s="16"/>
      <c r="J28" s="32" t="s">
        <v>35</v>
      </c>
      <c r="K28" s="47" t="s">
        <v>74</v>
      </c>
      <c r="L28" s="34" t="str">
        <f>IF(ISNUMBER(I28), I28/150, "")</f>
        <v/>
      </c>
      <c r="M28" s="35" t="s">
        <v>112</v>
      </c>
      <c r="N28" s="93">
        <v>46341</v>
      </c>
      <c r="O28" s="43"/>
      <c r="P28" s="35" t="s">
        <v>45</v>
      </c>
      <c r="Q28" s="56">
        <v>46204</v>
      </c>
    </row>
    <row r="29" spans="1:17" ht="12.75" customHeight="1" x14ac:dyDescent="0.2">
      <c r="A29" s="52">
        <v>727</v>
      </c>
      <c r="B29" s="82">
        <v>28</v>
      </c>
      <c r="C29" s="53"/>
      <c r="D29" s="54" t="s">
        <v>153</v>
      </c>
      <c r="E29" s="55" t="s">
        <v>65</v>
      </c>
      <c r="F29" s="29" t="s">
        <v>136</v>
      </c>
      <c r="G29" s="46" t="s">
        <v>24</v>
      </c>
      <c r="H29" s="29" t="s">
        <v>154</v>
      </c>
      <c r="I29" s="16"/>
      <c r="J29" s="32" t="s">
        <v>35</v>
      </c>
      <c r="K29" s="47" t="s">
        <v>155</v>
      </c>
      <c r="L29" s="34" t="str">
        <f>IF(ISNUMBER(I29), I29/150, "")</f>
        <v/>
      </c>
      <c r="M29" s="35" t="s">
        <v>112</v>
      </c>
      <c r="N29" s="93">
        <v>46341</v>
      </c>
      <c r="O29" s="35"/>
      <c r="P29" s="35" t="s">
        <v>45</v>
      </c>
      <c r="Q29" s="56">
        <v>46204</v>
      </c>
    </row>
    <row r="30" spans="1:17" ht="12" customHeight="1" x14ac:dyDescent="0.2">
      <c r="A30" s="52">
        <v>728</v>
      </c>
      <c r="B30" s="82">
        <v>28</v>
      </c>
      <c r="C30" s="53"/>
      <c r="D30" s="54" t="s">
        <v>156</v>
      </c>
      <c r="E30" s="55" t="s">
        <v>65</v>
      </c>
      <c r="F30" s="29" t="s">
        <v>77</v>
      </c>
      <c r="G30" s="46" t="s">
        <v>24</v>
      </c>
      <c r="H30" s="29" t="s">
        <v>157</v>
      </c>
      <c r="I30" s="16"/>
      <c r="J30" s="32" t="s">
        <v>35</v>
      </c>
      <c r="K30" s="47" t="s">
        <v>155</v>
      </c>
      <c r="L30" s="34" t="str">
        <f>IF(ISNUMBER(I30), I30/150, "")</f>
        <v/>
      </c>
      <c r="M30" s="35" t="s">
        <v>112</v>
      </c>
      <c r="N30" s="93">
        <v>46341</v>
      </c>
      <c r="O30" s="35"/>
      <c r="P30" s="35" t="s">
        <v>45</v>
      </c>
      <c r="Q30" s="56">
        <v>46204</v>
      </c>
    </row>
    <row r="31" spans="1:17" ht="12.75" customHeight="1" x14ac:dyDescent="0.2">
      <c r="A31" s="94">
        <v>730</v>
      </c>
      <c r="B31" s="82">
        <v>28</v>
      </c>
      <c r="C31" s="95"/>
      <c r="D31" s="96" t="s">
        <v>158</v>
      </c>
      <c r="E31" s="96"/>
      <c r="F31" s="96" t="s">
        <v>32</v>
      </c>
      <c r="G31" s="97" t="s">
        <v>24</v>
      </c>
      <c r="H31" s="59" t="s">
        <v>159</v>
      </c>
      <c r="I31" s="98"/>
      <c r="J31" s="99" t="s">
        <v>35</v>
      </c>
      <c r="K31" s="100" t="s">
        <v>103</v>
      </c>
      <c r="L31" s="101" t="str">
        <f>IF(ISNUMBER(I31), I31/150, "")</f>
        <v/>
      </c>
      <c r="M31" s="102" t="s">
        <v>112</v>
      </c>
      <c r="N31" s="93">
        <v>46341</v>
      </c>
      <c r="O31" s="102"/>
      <c r="P31" s="102"/>
      <c r="Q31" s="103"/>
    </row>
    <row r="32" spans="1:17" ht="12.75" customHeight="1" x14ac:dyDescent="0.2">
      <c r="A32" s="94">
        <v>731</v>
      </c>
      <c r="B32" s="82">
        <v>28</v>
      </c>
      <c r="C32" s="95"/>
      <c r="D32" s="96" t="s">
        <v>160</v>
      </c>
      <c r="E32" s="96"/>
      <c r="F32" s="96" t="s">
        <v>161</v>
      </c>
      <c r="G32" s="97" t="s">
        <v>24</v>
      </c>
      <c r="H32" s="59" t="s">
        <v>162</v>
      </c>
      <c r="I32" s="98"/>
      <c r="J32" s="99" t="s">
        <v>35</v>
      </c>
      <c r="K32" s="100" t="s">
        <v>103</v>
      </c>
      <c r="L32" s="101" t="str">
        <f>IF(ISNUMBER(I32), I32/150, "")</f>
        <v/>
      </c>
      <c r="M32" s="102" t="s">
        <v>112</v>
      </c>
      <c r="N32" s="93">
        <v>46341</v>
      </c>
      <c r="O32" s="102"/>
      <c r="P32" s="102"/>
      <c r="Q32" s="103"/>
    </row>
    <row r="33" spans="1:21" ht="12.75" customHeight="1" x14ac:dyDescent="0.2">
      <c r="A33" s="94">
        <v>732</v>
      </c>
      <c r="B33" s="82">
        <v>28</v>
      </c>
      <c r="C33" s="95"/>
      <c r="D33" s="96" t="s">
        <v>163</v>
      </c>
      <c r="E33" s="96"/>
      <c r="F33" s="96" t="s">
        <v>164</v>
      </c>
      <c r="G33" s="97" t="s">
        <v>24</v>
      </c>
      <c r="H33" s="59" t="s">
        <v>165</v>
      </c>
      <c r="I33" s="98"/>
      <c r="J33" s="99" t="s">
        <v>35</v>
      </c>
      <c r="K33" s="100" t="s">
        <v>103</v>
      </c>
      <c r="L33" s="101" t="str">
        <f>IF(ISNUMBER(I33), I33/150, "")</f>
        <v/>
      </c>
      <c r="M33" s="102" t="s">
        <v>112</v>
      </c>
      <c r="N33" s="93">
        <v>46341</v>
      </c>
      <c r="O33" s="102"/>
      <c r="P33" s="102"/>
      <c r="Q33" s="103"/>
    </row>
    <row r="34" spans="1:21" ht="12.75" customHeight="1" x14ac:dyDescent="0.2">
      <c r="A34" s="27">
        <v>488</v>
      </c>
      <c r="B34" s="82">
        <v>29</v>
      </c>
      <c r="C34" s="27"/>
      <c r="D34" s="29" t="s">
        <v>166</v>
      </c>
      <c r="E34" s="49"/>
      <c r="F34" s="31" t="s">
        <v>167</v>
      </c>
      <c r="G34" s="31" t="s">
        <v>24</v>
      </c>
      <c r="H34" s="104" t="s">
        <v>168</v>
      </c>
      <c r="I34" s="16">
        <v>700000</v>
      </c>
      <c r="J34" s="63" t="s">
        <v>73</v>
      </c>
      <c r="K34" s="51" t="s">
        <v>74</v>
      </c>
      <c r="L34" s="34">
        <f>IF(ISNUMBER(I34), I34/150, "")</f>
        <v>4666.666666666667</v>
      </c>
      <c r="M34" s="76" t="s">
        <v>116</v>
      </c>
      <c r="N34" s="93">
        <v>46341</v>
      </c>
      <c r="O34" s="35"/>
      <c r="P34" s="105"/>
      <c r="Q34" s="106"/>
    </row>
    <row r="35" spans="1:21" ht="12.75" customHeight="1" x14ac:dyDescent="0.2">
      <c r="A35" s="27">
        <v>661</v>
      </c>
      <c r="B35" s="82">
        <v>30</v>
      </c>
      <c r="C35" s="72">
        <v>3</v>
      </c>
      <c r="D35" s="29" t="s">
        <v>169</v>
      </c>
      <c r="E35" s="79" t="s">
        <v>170</v>
      </c>
      <c r="F35" s="31" t="s">
        <v>171</v>
      </c>
      <c r="G35" s="50" t="s">
        <v>24</v>
      </c>
      <c r="H35" s="29" t="s">
        <v>172</v>
      </c>
      <c r="I35" s="16">
        <f>50000+200000</f>
        <v>250000</v>
      </c>
      <c r="J35" s="107" t="s">
        <v>173</v>
      </c>
      <c r="K35" s="47" t="s">
        <v>103</v>
      </c>
      <c r="L35" s="34">
        <f>IF(ISNUMBER(I35), I35/150, "")</f>
        <v>1666.6666666666667</v>
      </c>
      <c r="M35" s="76" t="s">
        <v>56</v>
      </c>
      <c r="N35" s="93">
        <v>46341</v>
      </c>
      <c r="O35" s="35"/>
      <c r="P35" s="68" t="s">
        <v>133</v>
      </c>
      <c r="Q35" s="69">
        <v>46120</v>
      </c>
    </row>
    <row r="36" spans="1:21" ht="12.75" customHeight="1" x14ac:dyDescent="0.2">
      <c r="A36" s="65">
        <v>686</v>
      </c>
      <c r="B36" s="82">
        <v>31</v>
      </c>
      <c r="D36" s="29" t="s">
        <v>174</v>
      </c>
      <c r="E36" s="30" t="s">
        <v>175</v>
      </c>
      <c r="F36" s="31" t="s">
        <v>39</v>
      </c>
      <c r="G36" s="50" t="s">
        <v>24</v>
      </c>
      <c r="H36" s="29" t="s">
        <v>176</v>
      </c>
      <c r="J36" s="32" t="s">
        <v>35</v>
      </c>
      <c r="K36" s="75" t="s">
        <v>177</v>
      </c>
      <c r="L36" s="34" t="str">
        <f>IF(ISNUMBER(I36), I36/150, "")</f>
        <v/>
      </c>
      <c r="M36" s="35" t="s">
        <v>112</v>
      </c>
      <c r="P36" s="68" t="s">
        <v>178</v>
      </c>
      <c r="Q36" s="69">
        <v>46157</v>
      </c>
    </row>
    <row r="37" spans="1:21" ht="12.75" customHeight="1" x14ac:dyDescent="0.2">
      <c r="A37" s="65">
        <v>740</v>
      </c>
      <c r="B37" s="65">
        <v>32</v>
      </c>
      <c r="D37" s="29" t="s">
        <v>179</v>
      </c>
      <c r="E37" s="30" t="s">
        <v>175</v>
      </c>
      <c r="F37" s="50" t="s">
        <v>180</v>
      </c>
      <c r="G37" s="50" t="s">
        <v>181</v>
      </c>
      <c r="H37" s="29" t="s">
        <v>182</v>
      </c>
      <c r="J37" s="32" t="s">
        <v>35</v>
      </c>
      <c r="K37" s="108" t="s">
        <v>35</v>
      </c>
      <c r="M37" s="35" t="s">
        <v>112</v>
      </c>
      <c r="P37" s="68" t="s">
        <v>141</v>
      </c>
      <c r="Q37" s="69">
        <v>46219</v>
      </c>
    </row>
    <row r="38" spans="1:21" ht="13.5" customHeight="1" x14ac:dyDescent="0.2">
      <c r="A38" s="52">
        <v>724</v>
      </c>
      <c r="B38" s="82">
        <v>33</v>
      </c>
      <c r="C38" s="53"/>
      <c r="D38" s="29" t="s">
        <v>183</v>
      </c>
      <c r="E38" s="55" t="s">
        <v>65</v>
      </c>
      <c r="F38" s="29" t="s">
        <v>184</v>
      </c>
      <c r="G38" s="46" t="s">
        <v>24</v>
      </c>
      <c r="H38" s="29" t="s">
        <v>183</v>
      </c>
      <c r="I38" s="16"/>
      <c r="J38" s="32" t="s">
        <v>35</v>
      </c>
      <c r="K38" s="33" t="s">
        <v>74</v>
      </c>
      <c r="L38" s="34" t="str">
        <f>IF(ISNUMBER(I38), I38/150, "")</f>
        <v/>
      </c>
      <c r="M38" s="35" t="s">
        <v>112</v>
      </c>
      <c r="N38" s="77" t="s">
        <v>104</v>
      </c>
      <c r="O38" s="35"/>
      <c r="P38" s="35" t="s">
        <v>45</v>
      </c>
      <c r="Q38" s="56">
        <v>46204</v>
      </c>
      <c r="R38" s="40" t="s">
        <v>185</v>
      </c>
      <c r="S38" s="40" t="s">
        <v>185</v>
      </c>
      <c r="T38" s="40" t="s">
        <v>185</v>
      </c>
      <c r="U38" s="40" t="s">
        <v>185</v>
      </c>
    </row>
    <row r="39" spans="1:21" ht="12" customHeight="1" x14ac:dyDescent="0.2">
      <c r="A39" s="109">
        <v>725</v>
      </c>
      <c r="B39" s="82">
        <v>34</v>
      </c>
      <c r="C39" s="110"/>
      <c r="D39" s="29" t="s">
        <v>186</v>
      </c>
      <c r="E39" s="55" t="s">
        <v>65</v>
      </c>
      <c r="F39" s="29" t="s">
        <v>114</v>
      </c>
      <c r="G39" s="46" t="s">
        <v>24</v>
      </c>
      <c r="H39" s="29" t="s">
        <v>186</v>
      </c>
      <c r="I39" s="16"/>
      <c r="J39" s="32" t="s">
        <v>35</v>
      </c>
      <c r="K39" s="33" t="s">
        <v>74</v>
      </c>
      <c r="L39" s="34" t="str">
        <f>IF(ISNUMBER(I39), I39/150, "")</f>
        <v/>
      </c>
      <c r="M39" s="46" t="s">
        <v>112</v>
      </c>
      <c r="N39" s="77" t="s">
        <v>104</v>
      </c>
      <c r="O39" s="35"/>
      <c r="P39" s="46" t="s">
        <v>45</v>
      </c>
      <c r="Q39" s="111">
        <v>46204</v>
      </c>
    </row>
    <row r="40" spans="1:21" ht="12" customHeight="1" x14ac:dyDescent="0.2">
      <c r="A40" s="27">
        <v>701</v>
      </c>
      <c r="B40" s="82">
        <v>35</v>
      </c>
      <c r="C40" s="27"/>
      <c r="D40" s="78" t="s">
        <v>187</v>
      </c>
      <c r="E40" s="49"/>
      <c r="F40" s="31" t="s">
        <v>127</v>
      </c>
      <c r="G40" s="31" t="s">
        <v>48</v>
      </c>
      <c r="H40" s="29" t="s">
        <v>188</v>
      </c>
      <c r="I40" s="16"/>
      <c r="J40" s="32" t="s">
        <v>35</v>
      </c>
      <c r="K40" s="75" t="s">
        <v>177</v>
      </c>
      <c r="L40" s="34" t="str">
        <f>IF(ISNUMBER(I40), I40/150, "")</f>
        <v/>
      </c>
      <c r="M40" s="76" t="s">
        <v>116</v>
      </c>
      <c r="N40" s="77" t="s">
        <v>104</v>
      </c>
      <c r="O40" s="35"/>
      <c r="P40" s="38" t="s">
        <v>45</v>
      </c>
      <c r="Q40" s="39">
        <v>46177</v>
      </c>
    </row>
    <row r="41" spans="1:21" ht="12" customHeight="1" x14ac:dyDescent="0.2">
      <c r="A41" s="27">
        <v>681</v>
      </c>
      <c r="B41" s="82">
        <v>36</v>
      </c>
      <c r="C41" s="27"/>
      <c r="D41" s="78" t="s">
        <v>189</v>
      </c>
      <c r="E41" s="79" t="s">
        <v>190</v>
      </c>
      <c r="F41" s="31" t="s">
        <v>148</v>
      </c>
      <c r="G41" s="31" t="s">
        <v>48</v>
      </c>
      <c r="H41" s="29" t="s">
        <v>191</v>
      </c>
      <c r="I41" s="16"/>
      <c r="J41" s="32" t="s">
        <v>35</v>
      </c>
      <c r="K41" s="75" t="s">
        <v>74</v>
      </c>
      <c r="L41" s="34" t="str">
        <f>IF(ISNUMBER(I41), I41/150, "")</f>
        <v/>
      </c>
      <c r="M41" s="76" t="s">
        <v>192</v>
      </c>
      <c r="N41" s="77" t="s">
        <v>104</v>
      </c>
      <c r="O41" s="35"/>
      <c r="P41" s="38" t="s">
        <v>141</v>
      </c>
      <c r="Q41" s="39">
        <v>46148</v>
      </c>
    </row>
    <row r="42" spans="1:21" ht="12" customHeight="1" x14ac:dyDescent="0.2">
      <c r="A42" s="27">
        <v>432</v>
      </c>
      <c r="B42" s="82">
        <v>37</v>
      </c>
      <c r="C42" s="27"/>
      <c r="D42" s="78" t="s">
        <v>193</v>
      </c>
      <c r="E42" s="79" t="s">
        <v>66</v>
      </c>
      <c r="F42" s="31" t="s">
        <v>66</v>
      </c>
      <c r="G42" s="31"/>
      <c r="H42" s="29" t="s">
        <v>194</v>
      </c>
      <c r="I42" s="16">
        <v>169050</v>
      </c>
      <c r="J42" s="32" t="s">
        <v>35</v>
      </c>
      <c r="K42" s="75" t="s">
        <v>195</v>
      </c>
      <c r="L42" s="34">
        <f>IF(ISNUMBER(I42), I42/150, "")</f>
        <v>1127</v>
      </c>
      <c r="M42" s="76" t="s">
        <v>63</v>
      </c>
      <c r="N42" s="77">
        <v>46285</v>
      </c>
      <c r="O42" s="35" t="s">
        <v>44</v>
      </c>
      <c r="P42" s="38"/>
      <c r="Q42" s="39"/>
    </row>
    <row r="43" spans="1:21" ht="15" customHeight="1" x14ac:dyDescent="0.2">
      <c r="A43" s="27">
        <v>201</v>
      </c>
      <c r="B43" s="82">
        <v>38</v>
      </c>
      <c r="C43" s="27">
        <v>55</v>
      </c>
      <c r="D43" s="78" t="s">
        <v>196</v>
      </c>
      <c r="E43" s="79" t="s">
        <v>197</v>
      </c>
      <c r="F43" s="31" t="s">
        <v>198</v>
      </c>
      <c r="G43" s="31" t="s">
        <v>33</v>
      </c>
      <c r="H43" s="29" t="s">
        <v>199</v>
      </c>
      <c r="I43" s="16">
        <f>200000</f>
        <v>200000</v>
      </c>
      <c r="J43" s="32" t="s">
        <v>124</v>
      </c>
      <c r="K43" s="75"/>
      <c r="L43" s="34">
        <f>IF(ISNUMBER(I43), I43/150, "")</f>
        <v>1333.3333333333333</v>
      </c>
      <c r="M43" s="76" t="s">
        <v>116</v>
      </c>
      <c r="N43" s="77" t="s">
        <v>104</v>
      </c>
      <c r="O43" s="35"/>
      <c r="P43" s="38"/>
      <c r="Q43" s="39"/>
    </row>
    <row r="44" spans="1:21" ht="12" customHeight="1" x14ac:dyDescent="0.2">
      <c r="A44" s="27">
        <v>85</v>
      </c>
      <c r="B44" s="82">
        <v>39</v>
      </c>
      <c r="D44" s="78" t="s">
        <v>200</v>
      </c>
      <c r="E44" s="30" t="s">
        <v>201</v>
      </c>
      <c r="F44" s="31" t="s">
        <v>202</v>
      </c>
      <c r="G44" s="50" t="s">
        <v>81</v>
      </c>
      <c r="H44" s="29" t="s">
        <v>203</v>
      </c>
      <c r="I44" s="16">
        <v>120000</v>
      </c>
      <c r="J44" s="32" t="s">
        <v>35</v>
      </c>
      <c r="K44" s="75" t="s">
        <v>74</v>
      </c>
      <c r="L44" s="34">
        <f>IF(ISNUMBER(I44), I44/150, "")</f>
        <v>800</v>
      </c>
      <c r="M44" s="76" t="s">
        <v>116</v>
      </c>
      <c r="N44" s="77" t="s">
        <v>104</v>
      </c>
      <c r="O44" s="35"/>
      <c r="P44" s="38"/>
      <c r="Q44" s="39"/>
      <c r="R44" s="112"/>
    </row>
    <row r="45" spans="1:21" ht="12" customHeight="1" x14ac:dyDescent="0.2">
      <c r="A45" s="27">
        <v>428</v>
      </c>
      <c r="B45" s="82">
        <v>40</v>
      </c>
      <c r="C45" s="27"/>
      <c r="D45" s="29" t="s">
        <v>204</v>
      </c>
      <c r="E45" s="113" t="s">
        <v>121</v>
      </c>
      <c r="F45" s="31" t="s">
        <v>205</v>
      </c>
      <c r="G45" s="31" t="s">
        <v>24</v>
      </c>
      <c r="H45" s="29" t="s">
        <v>206</v>
      </c>
      <c r="I45" s="16">
        <v>30000</v>
      </c>
      <c r="J45" s="32" t="s">
        <v>124</v>
      </c>
      <c r="K45" s="75" t="s">
        <v>207</v>
      </c>
      <c r="L45" s="34">
        <f>IF(ISNUMBER(I45), I45/150, "")</f>
        <v>200</v>
      </c>
      <c r="M45" s="76" t="s">
        <v>63</v>
      </c>
      <c r="N45" s="77" t="s">
        <v>104</v>
      </c>
      <c r="O45" s="35"/>
      <c r="P45" s="38"/>
      <c r="Q45" s="39"/>
    </row>
    <row r="46" spans="1:21" ht="12" customHeight="1" x14ac:dyDescent="0.2">
      <c r="A46" s="27">
        <v>262</v>
      </c>
      <c r="B46" s="82">
        <v>41</v>
      </c>
      <c r="C46" s="27"/>
      <c r="D46" s="29" t="s">
        <v>208</v>
      </c>
      <c r="E46" s="113" t="s">
        <v>209</v>
      </c>
      <c r="F46" s="31" t="s">
        <v>95</v>
      </c>
      <c r="G46" s="50" t="s">
        <v>24</v>
      </c>
      <c r="H46" s="29" t="s">
        <v>210</v>
      </c>
      <c r="I46" s="16">
        <f>100000</f>
        <v>100000</v>
      </c>
      <c r="J46" s="32" t="s">
        <v>124</v>
      </c>
      <c r="K46" s="75" t="s">
        <v>92</v>
      </c>
      <c r="L46" s="34">
        <f>IF(ISNUMBER(I46), I46/150, "")</f>
        <v>666.66666666666663</v>
      </c>
      <c r="M46" s="76" t="s">
        <v>63</v>
      </c>
      <c r="N46" s="77" t="s">
        <v>104</v>
      </c>
      <c r="O46" s="35"/>
    </row>
    <row r="47" spans="1:21" ht="12" customHeight="1" x14ac:dyDescent="0.2">
      <c r="A47" s="27">
        <v>147</v>
      </c>
      <c r="B47" s="82">
        <v>42</v>
      </c>
      <c r="C47" s="65">
        <v>55</v>
      </c>
      <c r="D47" s="114" t="s">
        <v>211</v>
      </c>
      <c r="E47" s="30" t="s">
        <v>212</v>
      </c>
      <c r="F47" s="31" t="s">
        <v>95</v>
      </c>
      <c r="G47" s="50" t="s">
        <v>33</v>
      </c>
      <c r="H47" s="29" t="s">
        <v>213</v>
      </c>
      <c r="I47" s="16">
        <f>200000</f>
        <v>200000</v>
      </c>
      <c r="J47" s="115" t="s">
        <v>214</v>
      </c>
      <c r="K47" s="75" t="s">
        <v>215</v>
      </c>
      <c r="L47" s="34">
        <f>IF(ISNUMBER(I47), I47/150, "")</f>
        <v>1333.3333333333333</v>
      </c>
      <c r="M47" s="76" t="s">
        <v>63</v>
      </c>
      <c r="N47" s="77" t="s">
        <v>104</v>
      </c>
      <c r="O47" s="35"/>
    </row>
    <row r="48" spans="1:21" ht="12" customHeight="1" x14ac:dyDescent="0.2">
      <c r="A48" s="65">
        <v>638</v>
      </c>
      <c r="B48" s="82">
        <v>43</v>
      </c>
      <c r="D48" s="29" t="s">
        <v>216</v>
      </c>
      <c r="F48" s="31" t="s">
        <v>217</v>
      </c>
      <c r="G48" s="50" t="s">
        <v>24</v>
      </c>
      <c r="H48" s="29" t="s">
        <v>218</v>
      </c>
      <c r="I48" s="16">
        <v>73950</v>
      </c>
      <c r="J48" s="116" t="s">
        <v>219</v>
      </c>
      <c r="K48" s="75" t="s">
        <v>35</v>
      </c>
      <c r="L48" s="34">
        <f>IF(ISNUMBER(I48), I48/150, "")</f>
        <v>493</v>
      </c>
      <c r="M48" s="76" t="s">
        <v>116</v>
      </c>
      <c r="N48" s="77" t="s">
        <v>104</v>
      </c>
      <c r="O48" s="35"/>
      <c r="P48" s="68" t="s">
        <v>57</v>
      </c>
      <c r="Q48" s="69">
        <v>46084</v>
      </c>
    </row>
    <row r="49" spans="1:17" ht="12" customHeight="1" x14ac:dyDescent="0.2">
      <c r="A49" s="27">
        <v>662</v>
      </c>
      <c r="B49" s="82">
        <v>44</v>
      </c>
      <c r="C49" s="27"/>
      <c r="D49" s="29" t="s">
        <v>220</v>
      </c>
      <c r="E49" s="30" t="s">
        <v>221</v>
      </c>
      <c r="F49" s="31" t="s">
        <v>222</v>
      </c>
      <c r="G49" s="50" t="s">
        <v>24</v>
      </c>
      <c r="H49" s="29" t="s">
        <v>223</v>
      </c>
      <c r="I49" s="16">
        <v>200000</v>
      </c>
      <c r="J49" s="61" t="s">
        <v>224</v>
      </c>
      <c r="K49" s="108" t="s">
        <v>35</v>
      </c>
      <c r="L49" s="34">
        <f>IF(ISNUMBER(I49), I49/150, "")</f>
        <v>1333.3333333333333</v>
      </c>
      <c r="M49" s="76" t="s">
        <v>116</v>
      </c>
      <c r="N49" s="77" t="s">
        <v>104</v>
      </c>
      <c r="P49" s="68" t="s">
        <v>225</v>
      </c>
      <c r="Q49" s="69">
        <v>46121</v>
      </c>
    </row>
    <row r="50" spans="1:17" ht="12" customHeight="1" x14ac:dyDescent="0.2">
      <c r="A50" s="27">
        <v>627</v>
      </c>
      <c r="B50" s="82">
        <v>45</v>
      </c>
      <c r="C50" s="48">
        <v>14</v>
      </c>
      <c r="D50" s="78" t="s">
        <v>226</v>
      </c>
      <c r="E50" s="49" t="s">
        <v>227</v>
      </c>
      <c r="F50" s="31" t="s">
        <v>228</v>
      </c>
      <c r="G50" s="50" t="s">
        <v>24</v>
      </c>
      <c r="H50" s="29" t="s">
        <v>229</v>
      </c>
      <c r="I50" s="16">
        <v>100000</v>
      </c>
      <c r="J50" s="32" t="s">
        <v>124</v>
      </c>
      <c r="K50" s="75" t="s">
        <v>74</v>
      </c>
      <c r="L50" s="34">
        <f>IF(ISNUMBER(I50), I50/150, "")</f>
        <v>666.66666666666663</v>
      </c>
      <c r="M50" s="76" t="s">
        <v>116</v>
      </c>
      <c r="N50" s="77" t="s">
        <v>104</v>
      </c>
      <c r="O50" s="35"/>
    </row>
    <row r="51" spans="1:17" ht="12" customHeight="1" x14ac:dyDescent="0.2">
      <c r="A51" s="27">
        <v>636</v>
      </c>
      <c r="B51" s="82">
        <v>46</v>
      </c>
      <c r="C51" s="48">
        <v>15</v>
      </c>
      <c r="D51" s="78" t="s">
        <v>230</v>
      </c>
      <c r="E51" s="88" t="s">
        <v>135</v>
      </c>
      <c r="F51" s="31" t="s">
        <v>131</v>
      </c>
      <c r="G51" s="50" t="s">
        <v>33</v>
      </c>
      <c r="H51" s="29" t="s">
        <v>231</v>
      </c>
      <c r="I51" s="16">
        <v>60000</v>
      </c>
      <c r="J51" s="32" t="s">
        <v>35</v>
      </c>
      <c r="K51" s="75" t="s">
        <v>87</v>
      </c>
      <c r="L51" s="34">
        <f>IF(ISNUMBER(I51), I51/150, "")</f>
        <v>400</v>
      </c>
      <c r="M51" s="76" t="s">
        <v>56</v>
      </c>
      <c r="N51" s="77" t="s">
        <v>104</v>
      </c>
      <c r="O51" s="35"/>
    </row>
    <row r="52" spans="1:17" ht="14.25" customHeight="1" x14ac:dyDescent="0.2">
      <c r="A52" s="65">
        <v>645</v>
      </c>
      <c r="B52" s="82">
        <v>47</v>
      </c>
      <c r="C52" s="48">
        <v>16</v>
      </c>
      <c r="D52" s="29" t="s">
        <v>232</v>
      </c>
      <c r="E52" s="88" t="s">
        <v>135</v>
      </c>
      <c r="F52" s="31" t="s">
        <v>131</v>
      </c>
      <c r="G52" s="31" t="s">
        <v>33</v>
      </c>
      <c r="H52" s="29" t="s">
        <v>233</v>
      </c>
      <c r="I52" s="16">
        <v>100000</v>
      </c>
      <c r="J52" s="32" t="s">
        <v>35</v>
      </c>
      <c r="K52" s="75" t="s">
        <v>87</v>
      </c>
      <c r="L52" s="34">
        <f>IF(ISNUMBER(I52), I52/150, "")</f>
        <v>666.66666666666663</v>
      </c>
      <c r="M52" s="76" t="s">
        <v>116</v>
      </c>
      <c r="N52" s="77" t="s">
        <v>104</v>
      </c>
      <c r="P52" s="68" t="s">
        <v>57</v>
      </c>
      <c r="Q52" s="69">
        <v>46093</v>
      </c>
    </row>
    <row r="53" spans="1:17" ht="12" customHeight="1" x14ac:dyDescent="0.2">
      <c r="A53" s="27">
        <v>15</v>
      </c>
      <c r="B53" s="41">
        <v>48</v>
      </c>
      <c r="C53" s="48">
        <v>17</v>
      </c>
      <c r="D53" s="29" t="s">
        <v>234</v>
      </c>
      <c r="E53" s="88" t="s">
        <v>235</v>
      </c>
      <c r="F53" s="31" t="s">
        <v>236</v>
      </c>
      <c r="G53" s="50" t="s">
        <v>33</v>
      </c>
      <c r="H53" s="29" t="s">
        <v>237</v>
      </c>
      <c r="I53" s="16">
        <v>500000</v>
      </c>
      <c r="J53" s="32" t="s">
        <v>124</v>
      </c>
      <c r="K53" s="75" t="s">
        <v>74</v>
      </c>
      <c r="L53" s="34">
        <f>IF(ISNUMBER(I53), I53/150, "")</f>
        <v>3333.3333333333335</v>
      </c>
      <c r="M53" s="76" t="s">
        <v>116</v>
      </c>
      <c r="N53" s="77" t="s">
        <v>104</v>
      </c>
      <c r="O53" s="35"/>
    </row>
    <row r="54" spans="1:17" ht="13.5" customHeight="1" x14ac:dyDescent="0.2">
      <c r="A54" s="27">
        <v>564</v>
      </c>
      <c r="B54" s="82">
        <v>49</v>
      </c>
      <c r="C54" s="48">
        <v>18</v>
      </c>
      <c r="D54" s="78" t="s">
        <v>238</v>
      </c>
      <c r="E54" s="79" t="s">
        <v>100</v>
      </c>
      <c r="F54" s="31" t="s">
        <v>239</v>
      </c>
      <c r="G54" s="31" t="s">
        <v>24</v>
      </c>
      <c r="H54" s="29" t="s">
        <v>240</v>
      </c>
      <c r="I54" s="16">
        <f>50000</f>
        <v>50000</v>
      </c>
      <c r="J54" s="32" t="s">
        <v>35</v>
      </c>
      <c r="K54" s="75" t="s">
        <v>241</v>
      </c>
      <c r="L54" s="34">
        <f>IF(ISNUMBER(I54), I54/150, "")</f>
        <v>333.33333333333331</v>
      </c>
      <c r="M54" s="76" t="s">
        <v>63</v>
      </c>
      <c r="N54" s="77" t="s">
        <v>104</v>
      </c>
      <c r="O54" s="35"/>
      <c r="P54" s="38"/>
      <c r="Q54" s="39"/>
    </row>
    <row r="55" spans="1:17" ht="12" customHeight="1" x14ac:dyDescent="0.2">
      <c r="A55" s="65">
        <v>647</v>
      </c>
      <c r="B55" s="82">
        <v>50</v>
      </c>
      <c r="C55" s="48">
        <v>21</v>
      </c>
      <c r="D55" s="29" t="s">
        <v>242</v>
      </c>
      <c r="E55" s="113" t="s">
        <v>243</v>
      </c>
      <c r="F55" s="31" t="s">
        <v>244</v>
      </c>
      <c r="G55" s="74" t="s">
        <v>48</v>
      </c>
      <c r="H55" s="29" t="s">
        <v>245</v>
      </c>
      <c r="I55" s="16"/>
      <c r="J55" s="32" t="s">
        <v>35</v>
      </c>
      <c r="K55" s="75" t="s">
        <v>87</v>
      </c>
      <c r="L55" s="34" t="str">
        <f>IF(ISNUMBER(I55), I55/150, "")</f>
        <v/>
      </c>
      <c r="M55" s="43" t="s">
        <v>56</v>
      </c>
      <c r="N55" s="77" t="s">
        <v>104</v>
      </c>
      <c r="P55" s="68" t="s">
        <v>246</v>
      </c>
      <c r="Q55" s="69">
        <v>46094</v>
      </c>
    </row>
    <row r="56" spans="1:17" ht="12" customHeight="1" x14ac:dyDescent="0.2">
      <c r="A56" s="65">
        <v>235</v>
      </c>
      <c r="B56" s="82">
        <v>51</v>
      </c>
      <c r="C56" s="48">
        <v>22</v>
      </c>
      <c r="D56" s="29" t="s">
        <v>247</v>
      </c>
      <c r="E56" s="117" t="s">
        <v>248</v>
      </c>
      <c r="F56" s="31" t="s">
        <v>205</v>
      </c>
      <c r="G56" s="50" t="s">
        <v>33</v>
      </c>
      <c r="H56" s="29" t="s">
        <v>249</v>
      </c>
      <c r="I56" s="16"/>
      <c r="J56" s="32" t="s">
        <v>35</v>
      </c>
      <c r="K56" s="108" t="s">
        <v>35</v>
      </c>
      <c r="L56" s="34" t="str">
        <f>IF(ISNUMBER(I56), I56/150, "")</f>
        <v/>
      </c>
      <c r="M56" s="35" t="s">
        <v>112</v>
      </c>
    </row>
    <row r="57" spans="1:17" ht="12" customHeight="1" x14ac:dyDescent="0.2">
      <c r="A57" s="27">
        <v>304</v>
      </c>
      <c r="B57" s="82">
        <v>52</v>
      </c>
      <c r="C57" s="48">
        <v>23</v>
      </c>
      <c r="D57" s="29" t="s">
        <v>250</v>
      </c>
      <c r="E57" s="113" t="s">
        <v>243</v>
      </c>
      <c r="F57" s="31" t="s">
        <v>205</v>
      </c>
      <c r="G57" s="31" t="s">
        <v>251</v>
      </c>
      <c r="I57" s="16">
        <v>60000</v>
      </c>
      <c r="J57" s="32" t="s">
        <v>35</v>
      </c>
      <c r="K57" s="75" t="s">
        <v>74</v>
      </c>
      <c r="L57" s="34">
        <f>IF(ISNUMBER(I57), I57/150, "")</f>
        <v>400</v>
      </c>
      <c r="M57" s="76" t="s">
        <v>116</v>
      </c>
      <c r="N57" s="77" t="s">
        <v>104</v>
      </c>
      <c r="P57" s="38"/>
      <c r="Q57" s="39"/>
    </row>
    <row r="58" spans="1:17" ht="12" customHeight="1" x14ac:dyDescent="0.2">
      <c r="A58" s="27">
        <v>363</v>
      </c>
      <c r="B58" s="82">
        <v>53</v>
      </c>
      <c r="C58" s="48">
        <v>24</v>
      </c>
      <c r="D58" s="29" t="s">
        <v>252</v>
      </c>
      <c r="E58" s="117" t="s">
        <v>248</v>
      </c>
      <c r="F58" s="31" t="s">
        <v>32</v>
      </c>
      <c r="G58" s="31" t="s">
        <v>33</v>
      </c>
      <c r="H58" s="29" t="s">
        <v>253</v>
      </c>
      <c r="I58" s="16"/>
      <c r="J58" s="32" t="s">
        <v>35</v>
      </c>
      <c r="K58" s="108" t="s">
        <v>35</v>
      </c>
      <c r="L58" s="34" t="str">
        <f>IF(ISNUMBER(I58), I58/150, "")</f>
        <v/>
      </c>
      <c r="M58" s="35" t="s">
        <v>112</v>
      </c>
      <c r="O58" s="38"/>
      <c r="P58" s="38"/>
      <c r="Q58" s="39"/>
    </row>
    <row r="59" spans="1:17" ht="12" customHeight="1" x14ac:dyDescent="0.2">
      <c r="A59" s="27">
        <v>505</v>
      </c>
      <c r="B59" s="82">
        <v>54</v>
      </c>
      <c r="C59" s="48">
        <v>25</v>
      </c>
      <c r="D59" s="29" t="s">
        <v>254</v>
      </c>
      <c r="E59" s="113" t="s">
        <v>243</v>
      </c>
      <c r="F59" s="31" t="s">
        <v>255</v>
      </c>
      <c r="G59" s="31" t="s">
        <v>24</v>
      </c>
      <c r="H59" s="29" t="s">
        <v>256</v>
      </c>
      <c r="I59" s="16">
        <f>5000+60000</f>
        <v>65000</v>
      </c>
      <c r="J59" s="32" t="s">
        <v>35</v>
      </c>
      <c r="K59" s="75" t="s">
        <v>103</v>
      </c>
      <c r="L59" s="34">
        <f>IF(ISNUMBER(I59), I59/150, "")</f>
        <v>433.33333333333331</v>
      </c>
      <c r="M59" s="76" t="s">
        <v>116</v>
      </c>
      <c r="N59" s="77" t="s">
        <v>104</v>
      </c>
      <c r="P59" s="38"/>
      <c r="Q59" s="39"/>
    </row>
    <row r="60" spans="1:17" ht="12" customHeight="1" x14ac:dyDescent="0.2">
      <c r="A60" s="27">
        <v>369</v>
      </c>
      <c r="B60" s="82">
        <v>55</v>
      </c>
      <c r="C60" s="48">
        <v>26</v>
      </c>
      <c r="D60" s="29" t="s">
        <v>257</v>
      </c>
      <c r="E60" s="49" t="s">
        <v>130</v>
      </c>
      <c r="F60" s="31" t="s">
        <v>205</v>
      </c>
      <c r="G60" s="31" t="s">
        <v>33</v>
      </c>
      <c r="H60" s="29" t="s">
        <v>258</v>
      </c>
      <c r="I60" s="16"/>
      <c r="J60" s="90" t="s">
        <v>35</v>
      </c>
      <c r="K60" s="118" t="s">
        <v>35</v>
      </c>
      <c r="L60" s="34" t="str">
        <f>IF(ISNUMBER(I60), I60/150, "")</f>
        <v/>
      </c>
      <c r="M60" s="35" t="s">
        <v>112</v>
      </c>
      <c r="P60" s="38"/>
      <c r="Q60" s="39"/>
    </row>
    <row r="61" spans="1:17" ht="12" customHeight="1" x14ac:dyDescent="0.2">
      <c r="A61" s="27">
        <v>522</v>
      </c>
      <c r="B61" s="82">
        <v>56</v>
      </c>
      <c r="C61" s="48">
        <v>31</v>
      </c>
      <c r="D61" s="29" t="s">
        <v>259</v>
      </c>
      <c r="E61" s="113" t="s">
        <v>260</v>
      </c>
      <c r="F61" s="31" t="s">
        <v>261</v>
      </c>
      <c r="G61" s="31" t="s">
        <v>24</v>
      </c>
      <c r="H61" s="29" t="s">
        <v>262</v>
      </c>
      <c r="I61" s="16">
        <v>150000</v>
      </c>
      <c r="J61" s="90" t="s">
        <v>35</v>
      </c>
      <c r="K61" s="75" t="s">
        <v>74</v>
      </c>
      <c r="L61" s="34">
        <f>IF(ISNUMBER(I61), I61/150, "")</f>
        <v>1000</v>
      </c>
      <c r="M61" s="76" t="s">
        <v>112</v>
      </c>
      <c r="O61" s="35"/>
      <c r="P61" s="38"/>
      <c r="Q61" s="39"/>
    </row>
    <row r="62" spans="1:17" ht="12" customHeight="1" x14ac:dyDescent="0.2">
      <c r="A62" s="27">
        <v>328</v>
      </c>
      <c r="B62" s="82">
        <v>60</v>
      </c>
      <c r="C62" s="27"/>
      <c r="D62" s="29" t="s">
        <v>263</v>
      </c>
      <c r="E62" s="49" t="s">
        <v>264</v>
      </c>
      <c r="F62" s="31" t="s">
        <v>265</v>
      </c>
      <c r="G62" s="74" t="s">
        <v>48</v>
      </c>
      <c r="H62" s="29" t="s">
        <v>266</v>
      </c>
      <c r="I62" s="16"/>
      <c r="J62" s="32" t="s">
        <v>35</v>
      </c>
      <c r="K62" s="108" t="s">
        <v>35</v>
      </c>
      <c r="L62" s="34" t="str">
        <f>IF(ISNUMBER(I62), I62/150, "")</f>
        <v/>
      </c>
      <c r="M62" s="35" t="s">
        <v>112</v>
      </c>
      <c r="O62" s="38"/>
      <c r="P62" s="38"/>
      <c r="Q62" s="39"/>
    </row>
    <row r="63" spans="1:17" ht="12" customHeight="1" x14ac:dyDescent="0.2">
      <c r="A63" s="119">
        <v>22</v>
      </c>
      <c r="B63" s="82">
        <v>65</v>
      </c>
      <c r="C63" s="120">
        <v>4</v>
      </c>
      <c r="D63" s="104" t="s">
        <v>267</v>
      </c>
      <c r="E63" s="117" t="s">
        <v>268</v>
      </c>
      <c r="F63" s="104" t="s">
        <v>32</v>
      </c>
      <c r="G63" s="104" t="s">
        <v>33</v>
      </c>
      <c r="H63" s="104" t="s">
        <v>269</v>
      </c>
      <c r="I63" s="16"/>
      <c r="J63" s="32" t="s">
        <v>35</v>
      </c>
      <c r="K63" s="75" t="s">
        <v>83</v>
      </c>
      <c r="L63" s="34" t="str">
        <f>IF(ISNUMBER(I63), I63/150, "")</f>
        <v/>
      </c>
      <c r="M63" s="35" t="s">
        <v>112</v>
      </c>
      <c r="N63" s="77"/>
      <c r="O63" s="121"/>
      <c r="P63" s="38"/>
      <c r="Q63" s="39"/>
    </row>
    <row r="64" spans="1:17" ht="12" customHeight="1" x14ac:dyDescent="0.2">
      <c r="A64" s="65">
        <v>12</v>
      </c>
      <c r="B64" s="82">
        <v>65</v>
      </c>
      <c r="C64" s="72">
        <v>5</v>
      </c>
      <c r="D64" s="29" t="s">
        <v>270</v>
      </c>
      <c r="E64" s="49" t="s">
        <v>268</v>
      </c>
      <c r="F64" s="31" t="s">
        <v>271</v>
      </c>
      <c r="G64" s="50" t="s">
        <v>33</v>
      </c>
      <c r="H64" s="29" t="s">
        <v>272</v>
      </c>
      <c r="I64" s="60"/>
      <c r="J64" s="32" t="s">
        <v>35</v>
      </c>
      <c r="K64" s="75" t="s">
        <v>35</v>
      </c>
      <c r="L64" s="34" t="str">
        <f>IF(ISNUMBER(I64), I64/150, "")</f>
        <v/>
      </c>
      <c r="M64" s="35" t="s">
        <v>112</v>
      </c>
    </row>
    <row r="65" spans="1:21" ht="12" customHeight="1" x14ac:dyDescent="0.2">
      <c r="A65" s="65">
        <v>103</v>
      </c>
      <c r="B65" s="82">
        <v>65</v>
      </c>
      <c r="C65" s="72">
        <v>6</v>
      </c>
      <c r="D65" s="78" t="s">
        <v>273</v>
      </c>
      <c r="F65" s="31" t="s">
        <v>236</v>
      </c>
      <c r="G65" s="31" t="s">
        <v>251</v>
      </c>
      <c r="H65" s="29" t="s">
        <v>274</v>
      </c>
      <c r="I65" s="16"/>
      <c r="J65" s="32" t="s">
        <v>35</v>
      </c>
      <c r="K65" s="75" t="s">
        <v>35</v>
      </c>
      <c r="L65" s="34" t="str">
        <f>IF(ISNUMBER(I65), I65/150, "")</f>
        <v/>
      </c>
      <c r="M65" s="35" t="s">
        <v>112</v>
      </c>
    </row>
    <row r="66" spans="1:21" ht="12" customHeight="1" x14ac:dyDescent="0.2">
      <c r="A66" s="65">
        <v>13</v>
      </c>
      <c r="B66" s="82">
        <v>65</v>
      </c>
      <c r="C66" s="72">
        <v>7</v>
      </c>
      <c r="D66" s="29" t="s">
        <v>275</v>
      </c>
      <c r="E66" s="49" t="s">
        <v>268</v>
      </c>
      <c r="F66" s="31" t="s">
        <v>276</v>
      </c>
      <c r="G66" s="50" t="s">
        <v>33</v>
      </c>
      <c r="H66" s="29" t="s">
        <v>277</v>
      </c>
      <c r="I66" s="60"/>
      <c r="J66" s="32" t="s">
        <v>35</v>
      </c>
      <c r="K66" s="75" t="s">
        <v>35</v>
      </c>
      <c r="L66" s="34" t="str">
        <f>IF(ISNUMBER(I66), I66/150, "")</f>
        <v/>
      </c>
      <c r="M66" s="35" t="s">
        <v>112</v>
      </c>
    </row>
    <row r="67" spans="1:21" ht="12" customHeight="1" x14ac:dyDescent="0.2">
      <c r="A67" s="65">
        <v>65</v>
      </c>
      <c r="B67" s="82">
        <v>65</v>
      </c>
      <c r="C67" s="72">
        <v>19</v>
      </c>
      <c r="D67" s="29" t="s">
        <v>278</v>
      </c>
      <c r="E67" s="49" t="s">
        <v>268</v>
      </c>
      <c r="F67" s="31" t="s">
        <v>202</v>
      </c>
      <c r="G67" s="50" t="s">
        <v>33</v>
      </c>
      <c r="H67" s="29" t="s">
        <v>279</v>
      </c>
      <c r="I67" s="16"/>
      <c r="J67" s="32" t="s">
        <v>35</v>
      </c>
      <c r="K67" s="75" t="s">
        <v>35</v>
      </c>
      <c r="L67" s="34" t="str">
        <f>IF(ISNUMBER(I67), I67/150, "")</f>
        <v/>
      </c>
      <c r="M67" s="35" t="s">
        <v>112</v>
      </c>
    </row>
    <row r="68" spans="1:21" ht="12" customHeight="1" x14ac:dyDescent="0.2">
      <c r="A68" s="65">
        <v>50</v>
      </c>
      <c r="B68" s="82">
        <v>65</v>
      </c>
      <c r="C68" s="72">
        <v>20</v>
      </c>
      <c r="D68" s="29" t="s">
        <v>280</v>
      </c>
      <c r="F68" s="31" t="s">
        <v>202</v>
      </c>
      <c r="G68" s="31" t="s">
        <v>251</v>
      </c>
      <c r="H68" s="29" t="s">
        <v>281</v>
      </c>
      <c r="I68" s="16"/>
      <c r="J68" s="32" t="s">
        <v>35</v>
      </c>
      <c r="K68" s="75" t="s">
        <v>35</v>
      </c>
      <c r="L68" s="34" t="str">
        <f>IF(ISNUMBER(I68), I68/150, "")</f>
        <v/>
      </c>
      <c r="M68" s="35" t="s">
        <v>112</v>
      </c>
    </row>
    <row r="69" spans="1:21" ht="12" customHeight="1" x14ac:dyDescent="0.2">
      <c r="A69" s="27">
        <v>495</v>
      </c>
      <c r="B69" s="82">
        <v>65</v>
      </c>
      <c r="C69" s="27">
        <v>27</v>
      </c>
      <c r="D69" s="29" t="s">
        <v>282</v>
      </c>
      <c r="E69" s="49"/>
      <c r="F69" s="31" t="s">
        <v>283</v>
      </c>
      <c r="G69" s="31" t="s">
        <v>24</v>
      </c>
      <c r="H69" s="122" t="s">
        <v>284</v>
      </c>
      <c r="I69" s="16"/>
      <c r="J69" s="32" t="s">
        <v>35</v>
      </c>
      <c r="K69" s="75" t="s">
        <v>35</v>
      </c>
      <c r="L69" s="34" t="str">
        <f>IF(ISNUMBER(I69), I69/150, "")</f>
        <v/>
      </c>
      <c r="M69" s="35" t="s">
        <v>112</v>
      </c>
      <c r="O69" s="38"/>
      <c r="P69" s="38"/>
      <c r="Q69" s="39"/>
    </row>
    <row r="70" spans="1:21" ht="12" customHeight="1" x14ac:dyDescent="0.2">
      <c r="A70" s="65">
        <v>44</v>
      </c>
      <c r="B70" s="82">
        <v>65</v>
      </c>
      <c r="C70" s="72">
        <v>28</v>
      </c>
      <c r="D70" s="29" t="s">
        <v>285</v>
      </c>
      <c r="E70" s="49" t="s">
        <v>268</v>
      </c>
      <c r="F70" s="31" t="s">
        <v>205</v>
      </c>
      <c r="G70" s="50" t="s">
        <v>33</v>
      </c>
      <c r="H70" s="29" t="s">
        <v>286</v>
      </c>
      <c r="I70" s="16"/>
      <c r="J70" s="32" t="s">
        <v>35</v>
      </c>
      <c r="K70" s="75" t="s">
        <v>35</v>
      </c>
      <c r="L70" s="34" t="str">
        <f>IF(ISNUMBER(I70), I70/150, "")</f>
        <v/>
      </c>
      <c r="M70" s="35" t="s">
        <v>112</v>
      </c>
    </row>
    <row r="71" spans="1:21" ht="13.5" customHeight="1" x14ac:dyDescent="0.2">
      <c r="A71" s="65">
        <v>51</v>
      </c>
      <c r="B71" s="82">
        <v>65</v>
      </c>
      <c r="C71" s="72">
        <v>29</v>
      </c>
      <c r="D71" s="29" t="s">
        <v>287</v>
      </c>
      <c r="E71" s="49" t="s">
        <v>268</v>
      </c>
      <c r="F71" s="31" t="s">
        <v>205</v>
      </c>
      <c r="G71" s="50" t="s">
        <v>33</v>
      </c>
      <c r="H71" s="29" t="s">
        <v>286</v>
      </c>
      <c r="I71" s="16"/>
      <c r="J71" s="32" t="s">
        <v>35</v>
      </c>
      <c r="K71" s="75" t="s">
        <v>35</v>
      </c>
      <c r="L71" s="34" t="str">
        <f>IF(ISNUMBER(I71), I71/150, "")</f>
        <v/>
      </c>
      <c r="M71" s="35" t="s">
        <v>112</v>
      </c>
    </row>
    <row r="72" spans="1:21" ht="12" customHeight="1" x14ac:dyDescent="0.2">
      <c r="A72" s="65">
        <v>23</v>
      </c>
      <c r="B72" s="82">
        <v>65</v>
      </c>
      <c r="C72" s="72">
        <v>30</v>
      </c>
      <c r="D72" s="29" t="s">
        <v>288</v>
      </c>
      <c r="F72" s="31" t="s">
        <v>202</v>
      </c>
      <c r="G72" s="50" t="s">
        <v>81</v>
      </c>
      <c r="H72" s="29" t="s">
        <v>289</v>
      </c>
      <c r="I72" s="16"/>
      <c r="J72" s="32" t="s">
        <v>35</v>
      </c>
      <c r="K72" s="75" t="s">
        <v>35</v>
      </c>
      <c r="L72" s="34" t="str">
        <f>IF(ISNUMBER(I72), I72/150, "")</f>
        <v/>
      </c>
      <c r="M72" s="35" t="s">
        <v>112</v>
      </c>
    </row>
    <row r="73" spans="1:21" ht="12" customHeight="1" x14ac:dyDescent="0.2">
      <c r="A73" s="65">
        <v>43</v>
      </c>
      <c r="B73" s="82">
        <v>65</v>
      </c>
      <c r="C73" s="72">
        <v>32</v>
      </c>
      <c r="D73" s="29" t="s">
        <v>290</v>
      </c>
      <c r="E73" s="49" t="s">
        <v>268</v>
      </c>
      <c r="F73" s="31" t="s">
        <v>291</v>
      </c>
      <c r="G73" s="50" t="s">
        <v>33</v>
      </c>
      <c r="H73" s="29" t="s">
        <v>286</v>
      </c>
      <c r="I73" s="16"/>
      <c r="J73" s="32" t="s">
        <v>35</v>
      </c>
      <c r="K73" s="75" t="s">
        <v>35</v>
      </c>
      <c r="L73" s="34" t="str">
        <f>IF(ISNUMBER(I73), I73/150, "")</f>
        <v/>
      </c>
      <c r="M73" s="35" t="s">
        <v>112</v>
      </c>
      <c r="R73" s="123"/>
      <c r="S73" s="123"/>
      <c r="T73" s="123"/>
      <c r="U73" s="123"/>
    </row>
    <row r="74" spans="1:21" ht="12" customHeight="1" x14ac:dyDescent="0.2">
      <c r="A74" s="27">
        <v>547</v>
      </c>
      <c r="B74" s="82">
        <v>75</v>
      </c>
      <c r="C74" s="27"/>
      <c r="D74" s="29" t="s">
        <v>292</v>
      </c>
      <c r="E74" s="49"/>
      <c r="F74" s="31" t="s">
        <v>293</v>
      </c>
      <c r="G74" s="31" t="s">
        <v>24</v>
      </c>
      <c r="H74" s="29" t="s">
        <v>294</v>
      </c>
      <c r="I74" s="16">
        <v>500000</v>
      </c>
      <c r="J74" s="32" t="s">
        <v>35</v>
      </c>
      <c r="K74" s="75" t="s">
        <v>104</v>
      </c>
      <c r="L74" s="34">
        <f>IF(ISNUMBER(I74), I74/150, "")</f>
        <v>3333.3333333333335</v>
      </c>
      <c r="M74" s="35" t="s">
        <v>112</v>
      </c>
      <c r="N74" s="42" t="s">
        <v>295</v>
      </c>
      <c r="O74" s="38"/>
      <c r="P74" s="38"/>
      <c r="Q74" s="39"/>
    </row>
    <row r="75" spans="1:21" ht="12" customHeight="1" x14ac:dyDescent="0.2">
      <c r="A75" s="65">
        <v>620</v>
      </c>
      <c r="B75" s="82">
        <v>75</v>
      </c>
      <c r="D75" s="29" t="s">
        <v>296</v>
      </c>
      <c r="E75" s="30" t="s">
        <v>297</v>
      </c>
      <c r="F75" s="31" t="s">
        <v>265</v>
      </c>
      <c r="G75" s="50" t="s">
        <v>24</v>
      </c>
      <c r="H75" s="29" t="s">
        <v>298</v>
      </c>
      <c r="I75" s="16">
        <f>100000+5000</f>
        <v>105000</v>
      </c>
      <c r="J75" s="32" t="s">
        <v>35</v>
      </c>
      <c r="K75" s="75" t="s">
        <v>35</v>
      </c>
      <c r="L75" s="34">
        <f>IF(ISNUMBER(I75), I75/150, "")</f>
        <v>700</v>
      </c>
      <c r="M75" s="76" t="s">
        <v>299</v>
      </c>
      <c r="N75" s="77" t="s">
        <v>104</v>
      </c>
    </row>
    <row r="76" spans="1:21" ht="15" customHeight="1" x14ac:dyDescent="0.2">
      <c r="A76" s="27">
        <v>288</v>
      </c>
      <c r="B76" s="82">
        <v>75</v>
      </c>
      <c r="C76" s="27">
        <v>55</v>
      </c>
      <c r="D76" s="29" t="s">
        <v>300</v>
      </c>
      <c r="E76" s="49" t="s">
        <v>268</v>
      </c>
      <c r="F76" s="31" t="s">
        <v>148</v>
      </c>
      <c r="G76" s="31" t="s">
        <v>24</v>
      </c>
      <c r="H76" s="29" t="s">
        <v>301</v>
      </c>
      <c r="I76" s="16"/>
      <c r="J76" s="32" t="s">
        <v>35</v>
      </c>
      <c r="K76" s="85" t="s">
        <v>35</v>
      </c>
      <c r="L76" s="34" t="str">
        <f>IF(ISNUMBER(I76), I76/150, "")</f>
        <v/>
      </c>
      <c r="M76" s="35" t="s">
        <v>112</v>
      </c>
      <c r="N76" s="77"/>
      <c r="O76" s="35"/>
      <c r="P76" s="38"/>
      <c r="Q76" s="39"/>
    </row>
    <row r="77" spans="1:21" ht="12" customHeight="1" x14ac:dyDescent="0.2">
      <c r="A77" s="27">
        <v>320</v>
      </c>
      <c r="B77" s="82">
        <v>75</v>
      </c>
      <c r="C77" s="27">
        <v>55</v>
      </c>
      <c r="D77" s="29" t="s">
        <v>302</v>
      </c>
      <c r="E77" s="49" t="s">
        <v>268</v>
      </c>
      <c r="F77" s="31" t="s">
        <v>205</v>
      </c>
      <c r="G77" s="74" t="s">
        <v>48</v>
      </c>
      <c r="H77" s="29" t="s">
        <v>303</v>
      </c>
      <c r="I77" s="16"/>
      <c r="J77" s="32" t="s">
        <v>35</v>
      </c>
      <c r="K77" s="108" t="s">
        <v>35</v>
      </c>
      <c r="L77" s="34" t="str">
        <f>IF(ISNUMBER(I77), I77/150, "")</f>
        <v/>
      </c>
      <c r="M77" s="35" t="s">
        <v>112</v>
      </c>
      <c r="O77" s="38"/>
      <c r="P77" s="38"/>
      <c r="Q77" s="39"/>
    </row>
    <row r="78" spans="1:21" ht="12" customHeight="1" x14ac:dyDescent="0.2">
      <c r="A78" s="27">
        <v>411</v>
      </c>
      <c r="B78" s="82">
        <v>75</v>
      </c>
      <c r="C78" s="27">
        <v>55</v>
      </c>
      <c r="D78" s="29" t="s">
        <v>304</v>
      </c>
      <c r="E78" s="49" t="s">
        <v>268</v>
      </c>
      <c r="F78" s="31" t="s">
        <v>205</v>
      </c>
      <c r="G78" s="31" t="s">
        <v>24</v>
      </c>
      <c r="H78" s="29" t="s">
        <v>305</v>
      </c>
      <c r="I78" s="16"/>
      <c r="J78" s="32" t="s">
        <v>35</v>
      </c>
      <c r="K78" s="108" t="s">
        <v>35</v>
      </c>
      <c r="L78" s="34" t="str">
        <f>IF(ISNUMBER(I78), I78/150, "")</f>
        <v/>
      </c>
      <c r="M78" s="35" t="s">
        <v>112</v>
      </c>
      <c r="O78" s="38"/>
      <c r="P78" s="38"/>
      <c r="Q78" s="39"/>
    </row>
    <row r="79" spans="1:21" ht="12" customHeight="1" x14ac:dyDescent="0.2">
      <c r="A79" s="27">
        <v>589</v>
      </c>
      <c r="B79" s="82">
        <v>75</v>
      </c>
      <c r="C79" s="27">
        <v>55</v>
      </c>
      <c r="D79" s="29" t="s">
        <v>306</v>
      </c>
      <c r="E79" s="49" t="s">
        <v>268</v>
      </c>
      <c r="F79" s="31" t="s">
        <v>307</v>
      </c>
      <c r="G79" s="74" t="s">
        <v>48</v>
      </c>
      <c r="H79" s="29" t="s">
        <v>308</v>
      </c>
      <c r="I79" s="16"/>
      <c r="J79" s="32" t="s">
        <v>35</v>
      </c>
      <c r="K79" s="75" t="s">
        <v>35</v>
      </c>
      <c r="L79" s="34" t="str">
        <f>IF(ISNUMBER(I79), I79/150, "")</f>
        <v/>
      </c>
      <c r="M79" s="35" t="s">
        <v>112</v>
      </c>
      <c r="O79" s="38"/>
      <c r="P79" s="38"/>
      <c r="Q79" s="39"/>
    </row>
    <row r="80" spans="1:21" ht="12" customHeight="1" x14ac:dyDescent="0.2">
      <c r="A80" s="27">
        <v>292</v>
      </c>
      <c r="B80" s="82">
        <v>75</v>
      </c>
      <c r="C80" s="27"/>
      <c r="D80" s="29" t="s">
        <v>309</v>
      </c>
      <c r="E80" s="49"/>
      <c r="F80" s="31" t="s">
        <v>136</v>
      </c>
      <c r="G80" s="74" t="s">
        <v>48</v>
      </c>
      <c r="H80" s="29" t="s">
        <v>310</v>
      </c>
      <c r="I80" s="16"/>
      <c r="J80" s="32" t="s">
        <v>35</v>
      </c>
      <c r="K80" s="108" t="s">
        <v>35</v>
      </c>
      <c r="L80" s="34" t="str">
        <f>IF(ISNUMBER(I80), I80/150, "")</f>
        <v/>
      </c>
      <c r="M80" s="35" t="s">
        <v>112</v>
      </c>
      <c r="O80" s="38"/>
      <c r="P80" s="38"/>
      <c r="Q80" s="39"/>
    </row>
    <row r="81" spans="1:22" s="14" customFormat="1" ht="12" customHeight="1" x14ac:dyDescent="0.2">
      <c r="A81" s="27">
        <v>316</v>
      </c>
      <c r="B81" s="82">
        <v>75</v>
      </c>
      <c r="C81" s="27"/>
      <c r="D81" s="29" t="s">
        <v>311</v>
      </c>
      <c r="E81" s="49"/>
      <c r="F81" s="31" t="s">
        <v>148</v>
      </c>
      <c r="G81" s="74" t="s">
        <v>48</v>
      </c>
      <c r="H81" s="29" t="s">
        <v>312</v>
      </c>
      <c r="I81" s="16"/>
      <c r="J81" s="32" t="s">
        <v>35</v>
      </c>
      <c r="K81" s="108" t="s">
        <v>35</v>
      </c>
      <c r="L81" s="34" t="str">
        <f>IF(ISNUMBER(I81), I81/150, "")</f>
        <v/>
      </c>
      <c r="M81" s="35" t="s">
        <v>112</v>
      </c>
      <c r="N81" s="42"/>
      <c r="O81" s="38"/>
      <c r="P81" s="38"/>
      <c r="Q81" s="39"/>
      <c r="R81" s="40"/>
      <c r="S81" s="40"/>
      <c r="T81" s="40"/>
      <c r="U81" s="40"/>
      <c r="V81" s="9"/>
    </row>
    <row r="82" spans="1:22" ht="12" customHeight="1" x14ac:dyDescent="0.2">
      <c r="A82" s="27">
        <v>390</v>
      </c>
      <c r="B82" s="82">
        <v>75</v>
      </c>
      <c r="C82" s="27"/>
      <c r="D82" s="29" t="s">
        <v>313</v>
      </c>
      <c r="E82" s="49"/>
      <c r="F82" s="104"/>
      <c r="G82" s="74" t="s">
        <v>48</v>
      </c>
      <c r="H82" s="29" t="s">
        <v>314</v>
      </c>
      <c r="I82" s="16"/>
      <c r="J82" s="32" t="s">
        <v>35</v>
      </c>
      <c r="K82" s="108" t="s">
        <v>35</v>
      </c>
      <c r="L82" s="34" t="str">
        <f>IF(ISNUMBER(I82), I82/150, "")</f>
        <v/>
      </c>
      <c r="M82" s="35" t="s">
        <v>112</v>
      </c>
      <c r="O82" s="38"/>
      <c r="P82" s="38"/>
      <c r="Q82" s="39"/>
      <c r="R82" s="112"/>
      <c r="S82" s="112"/>
      <c r="T82" s="112"/>
      <c r="U82" s="112"/>
    </row>
    <row r="83" spans="1:22" ht="12" customHeight="1" x14ac:dyDescent="0.2">
      <c r="A83" s="27">
        <v>434</v>
      </c>
      <c r="B83" s="82">
        <v>75</v>
      </c>
      <c r="C83" s="27"/>
      <c r="D83" s="29" t="s">
        <v>315</v>
      </c>
      <c r="E83" s="49"/>
      <c r="F83" s="31" t="s">
        <v>39</v>
      </c>
      <c r="G83" s="74" t="s">
        <v>48</v>
      </c>
      <c r="I83" s="16"/>
      <c r="J83" s="32" t="s">
        <v>35</v>
      </c>
      <c r="K83" s="108" t="s">
        <v>35</v>
      </c>
      <c r="L83" s="34" t="str">
        <f>IF(ISNUMBER(I83), I83/150, "")</f>
        <v/>
      </c>
      <c r="M83" s="35" t="s">
        <v>112</v>
      </c>
      <c r="O83" s="38"/>
      <c r="P83" s="38"/>
      <c r="Q83" s="39"/>
    </row>
    <row r="84" spans="1:22" ht="12" customHeight="1" x14ac:dyDescent="0.2">
      <c r="A84" s="27">
        <v>518</v>
      </c>
      <c r="B84" s="82">
        <v>75</v>
      </c>
      <c r="C84" s="27"/>
      <c r="D84" s="29" t="s">
        <v>316</v>
      </c>
      <c r="E84" s="49"/>
      <c r="F84" s="31" t="s">
        <v>317</v>
      </c>
      <c r="G84" s="74" t="s">
        <v>48</v>
      </c>
      <c r="H84" s="29" t="s">
        <v>318</v>
      </c>
      <c r="I84" s="16">
        <f>15000</f>
        <v>15000</v>
      </c>
      <c r="J84" s="32" t="s">
        <v>35</v>
      </c>
      <c r="K84" s="108" t="s">
        <v>35</v>
      </c>
      <c r="L84" s="34">
        <f>IF(ISNUMBER(I84), I84/150, "")</f>
        <v>100</v>
      </c>
      <c r="M84" s="35" t="s">
        <v>112</v>
      </c>
      <c r="O84" s="38"/>
      <c r="P84" s="38"/>
      <c r="Q84" s="39"/>
    </row>
    <row r="85" spans="1:22" ht="12" customHeight="1" x14ac:dyDescent="0.2">
      <c r="A85" s="27">
        <v>535</v>
      </c>
      <c r="B85" s="82">
        <v>75</v>
      </c>
      <c r="C85" s="27"/>
      <c r="D85" s="29" t="s">
        <v>319</v>
      </c>
      <c r="E85" s="49"/>
      <c r="F85" s="31" t="s">
        <v>320</v>
      </c>
      <c r="G85" s="74" t="s">
        <v>48</v>
      </c>
      <c r="H85" s="29" t="s">
        <v>321</v>
      </c>
      <c r="I85" s="16"/>
      <c r="J85" s="32" t="s">
        <v>35</v>
      </c>
      <c r="K85" s="108" t="s">
        <v>124</v>
      </c>
      <c r="L85" s="34" t="str">
        <f>IF(ISNUMBER(I85), I85/150, "")</f>
        <v/>
      </c>
      <c r="M85" s="35" t="s">
        <v>112</v>
      </c>
      <c r="O85" s="38"/>
      <c r="P85" s="38"/>
      <c r="Q85" s="39"/>
    </row>
    <row r="86" spans="1:22" ht="12" customHeight="1" x14ac:dyDescent="0.2">
      <c r="A86" s="27">
        <v>537</v>
      </c>
      <c r="B86" s="82">
        <v>75</v>
      </c>
      <c r="C86" s="27"/>
      <c r="D86" s="29" t="s">
        <v>322</v>
      </c>
      <c r="E86" s="49"/>
      <c r="F86" s="31" t="s">
        <v>127</v>
      </c>
      <c r="G86" s="74" t="s">
        <v>48</v>
      </c>
      <c r="H86" s="29" t="s">
        <v>323</v>
      </c>
      <c r="I86" s="16"/>
      <c r="J86" s="32" t="s">
        <v>35</v>
      </c>
      <c r="K86" s="108" t="s">
        <v>35</v>
      </c>
      <c r="L86" s="34" t="str">
        <f>IF(ISNUMBER(I86), I86/150, "")</f>
        <v/>
      </c>
      <c r="M86" s="35" t="s">
        <v>112</v>
      </c>
      <c r="O86" s="38"/>
      <c r="P86" s="38"/>
      <c r="Q86" s="39"/>
    </row>
    <row r="87" spans="1:22" ht="12" customHeight="1" x14ac:dyDescent="0.2">
      <c r="A87" s="27">
        <v>538</v>
      </c>
      <c r="B87" s="82">
        <v>75</v>
      </c>
      <c r="C87" s="27"/>
      <c r="D87" s="29" t="s">
        <v>324</v>
      </c>
      <c r="E87" s="49"/>
      <c r="F87" s="31" t="s">
        <v>39</v>
      </c>
      <c r="G87" s="74" t="s">
        <v>48</v>
      </c>
      <c r="H87" s="29" t="s">
        <v>325</v>
      </c>
      <c r="I87" s="16"/>
      <c r="J87" s="32" t="s">
        <v>35</v>
      </c>
      <c r="K87" s="108" t="s">
        <v>35</v>
      </c>
      <c r="L87" s="34" t="str">
        <f>IF(ISNUMBER(I87), I87/150, "")</f>
        <v/>
      </c>
      <c r="M87" s="35" t="s">
        <v>112</v>
      </c>
      <c r="O87" s="38"/>
      <c r="P87" s="38"/>
      <c r="Q87" s="39"/>
    </row>
    <row r="88" spans="1:22" ht="12" customHeight="1" x14ac:dyDescent="0.2">
      <c r="A88" s="52">
        <v>549</v>
      </c>
      <c r="B88" s="82">
        <v>75</v>
      </c>
      <c r="C88" s="27"/>
      <c r="D88" s="29" t="s">
        <v>326</v>
      </c>
      <c r="E88" s="49"/>
      <c r="F88" s="31" t="s">
        <v>39</v>
      </c>
      <c r="G88" s="74" t="s">
        <v>48</v>
      </c>
      <c r="H88" s="29" t="s">
        <v>327</v>
      </c>
      <c r="I88" s="16"/>
      <c r="J88" s="32" t="s">
        <v>35</v>
      </c>
      <c r="K88" s="75" t="s">
        <v>35</v>
      </c>
      <c r="L88" s="34" t="str">
        <f>IF(ISNUMBER(I88), I88/150, "")</f>
        <v/>
      </c>
      <c r="M88" s="35" t="s">
        <v>112</v>
      </c>
      <c r="O88" s="38"/>
      <c r="P88" s="38"/>
      <c r="Q88" s="39"/>
    </row>
    <row r="89" spans="1:22" ht="12" customHeight="1" x14ac:dyDescent="0.2">
      <c r="A89" s="52">
        <v>567</v>
      </c>
      <c r="B89" s="82">
        <v>75</v>
      </c>
      <c r="C89" s="27"/>
      <c r="D89" s="29" t="s">
        <v>328</v>
      </c>
      <c r="E89" s="49"/>
      <c r="F89" s="31" t="s">
        <v>329</v>
      </c>
      <c r="G89" s="74" t="s">
        <v>48</v>
      </c>
      <c r="H89" s="29" t="s">
        <v>330</v>
      </c>
      <c r="I89" s="16"/>
      <c r="J89" s="32" t="s">
        <v>35</v>
      </c>
      <c r="K89" s="75" t="s">
        <v>35</v>
      </c>
      <c r="L89" s="34" t="str">
        <f>IF(ISNUMBER(I89), I89/150, "")</f>
        <v/>
      </c>
      <c r="M89" s="35" t="s">
        <v>112</v>
      </c>
      <c r="O89" s="38"/>
      <c r="P89" s="38"/>
      <c r="Q89" s="39"/>
    </row>
    <row r="90" spans="1:22" ht="12" customHeight="1" x14ac:dyDescent="0.2">
      <c r="A90" s="27">
        <v>600</v>
      </c>
      <c r="B90" s="82">
        <v>75</v>
      </c>
      <c r="C90" s="27"/>
      <c r="D90" s="29" t="s">
        <v>331</v>
      </c>
      <c r="E90" s="49"/>
      <c r="F90" s="31" t="s">
        <v>39</v>
      </c>
      <c r="G90" s="74" t="s">
        <v>48</v>
      </c>
      <c r="H90" s="29" t="s">
        <v>332</v>
      </c>
      <c r="I90" s="16"/>
      <c r="J90" s="32" t="s">
        <v>35</v>
      </c>
      <c r="K90" s="75" t="s">
        <v>35</v>
      </c>
      <c r="L90" s="34" t="str">
        <f>IF(ISNUMBER(I90), I90/150, "")</f>
        <v/>
      </c>
      <c r="M90" s="35" t="s">
        <v>112</v>
      </c>
      <c r="O90" s="38"/>
      <c r="P90" s="38"/>
      <c r="Q90" s="39"/>
    </row>
    <row r="91" spans="1:22" ht="12" customHeight="1" x14ac:dyDescent="0.2">
      <c r="A91" s="27">
        <v>706</v>
      </c>
      <c r="B91" s="82">
        <v>75</v>
      </c>
      <c r="D91" s="29" t="s">
        <v>333</v>
      </c>
      <c r="F91" s="50" t="s">
        <v>334</v>
      </c>
      <c r="G91" s="50" t="s">
        <v>24</v>
      </c>
      <c r="H91" s="29" t="s">
        <v>335</v>
      </c>
      <c r="J91" s="32" t="s">
        <v>35</v>
      </c>
      <c r="K91" s="75" t="s">
        <v>336</v>
      </c>
      <c r="L91" s="34" t="str">
        <f>IF(ISNUMBER(I91), I91/150, "")</f>
        <v/>
      </c>
      <c r="M91" s="35" t="s">
        <v>112</v>
      </c>
      <c r="P91" s="68" t="s">
        <v>141</v>
      </c>
      <c r="Q91" s="69">
        <v>46188</v>
      </c>
    </row>
    <row r="92" spans="1:22" ht="12" customHeight="1" x14ac:dyDescent="0.2">
      <c r="A92" s="27">
        <v>112</v>
      </c>
      <c r="B92" s="82">
        <v>99</v>
      </c>
      <c r="C92" s="65">
        <v>55</v>
      </c>
      <c r="D92" s="78" t="s">
        <v>337</v>
      </c>
      <c r="E92" s="49" t="s">
        <v>338</v>
      </c>
      <c r="F92" s="31" t="s">
        <v>32</v>
      </c>
      <c r="G92" s="50" t="s">
        <v>33</v>
      </c>
      <c r="H92" s="29" t="s">
        <v>339</v>
      </c>
      <c r="I92" s="16">
        <v>4500</v>
      </c>
      <c r="J92" s="32" t="s">
        <v>35</v>
      </c>
      <c r="K92" s="75">
        <v>46168</v>
      </c>
      <c r="L92" s="34">
        <f>IF(ISNUMBER(I92), I92/150, "")</f>
        <v>30</v>
      </c>
      <c r="M92" s="35" t="s">
        <v>192</v>
      </c>
      <c r="O92" s="35"/>
    </row>
    <row r="93" spans="1:22" ht="12" customHeight="1" x14ac:dyDescent="0.2">
      <c r="A93" s="65">
        <v>707</v>
      </c>
      <c r="B93" s="82">
        <v>99</v>
      </c>
      <c r="C93" s="65">
        <v>55</v>
      </c>
      <c r="D93" s="29" t="s">
        <v>340</v>
      </c>
      <c r="E93" s="30" t="s">
        <v>268</v>
      </c>
      <c r="F93" s="50" t="s">
        <v>341</v>
      </c>
      <c r="G93" s="50" t="s">
        <v>33</v>
      </c>
      <c r="H93" s="29" t="s">
        <v>342</v>
      </c>
      <c r="I93" s="16">
        <v>7500</v>
      </c>
      <c r="J93" s="32" t="s">
        <v>35</v>
      </c>
      <c r="K93" s="75"/>
      <c r="L93" s="34">
        <f>IF(ISNUMBER(I93), I93/150, "")</f>
        <v>50</v>
      </c>
      <c r="M93" s="35" t="s">
        <v>192</v>
      </c>
      <c r="O93" s="35"/>
      <c r="P93" s="68" t="s">
        <v>178</v>
      </c>
      <c r="Q93" s="69">
        <v>46188</v>
      </c>
    </row>
    <row r="94" spans="1:22" ht="12" customHeight="1" x14ac:dyDescent="0.2">
      <c r="A94" s="27">
        <v>405</v>
      </c>
      <c r="B94" s="82">
        <v>99</v>
      </c>
      <c r="C94" s="27"/>
      <c r="D94" s="29" t="s">
        <v>343</v>
      </c>
      <c r="E94" s="113" t="s">
        <v>209</v>
      </c>
      <c r="F94" s="31" t="s">
        <v>344</v>
      </c>
      <c r="G94" s="31" t="s">
        <v>24</v>
      </c>
      <c r="H94" s="29" t="s">
        <v>25</v>
      </c>
      <c r="I94" s="16"/>
      <c r="J94" s="90" t="s">
        <v>124</v>
      </c>
      <c r="K94" s="75" t="s">
        <v>35</v>
      </c>
      <c r="L94" s="34" t="str">
        <f>IF(ISNUMBER(I94), I94/150, "")</f>
        <v/>
      </c>
      <c r="M94" s="76" t="s">
        <v>345</v>
      </c>
      <c r="N94" s="124"/>
      <c r="O94" s="125"/>
      <c r="P94" s="125"/>
      <c r="Q94" s="126"/>
    </row>
    <row r="95" spans="1:22" ht="12" customHeight="1" x14ac:dyDescent="0.2">
      <c r="A95" s="27">
        <v>408</v>
      </c>
      <c r="B95" s="82">
        <v>99</v>
      </c>
      <c r="C95" s="27"/>
      <c r="D95" s="29" t="s">
        <v>346</v>
      </c>
      <c r="E95" s="113" t="s">
        <v>209</v>
      </c>
      <c r="F95" s="31" t="s">
        <v>347</v>
      </c>
      <c r="G95" s="31" t="s">
        <v>24</v>
      </c>
      <c r="H95" s="29" t="s">
        <v>25</v>
      </c>
      <c r="I95" s="16"/>
      <c r="J95" s="90" t="s">
        <v>124</v>
      </c>
      <c r="K95" s="75" t="s">
        <v>35</v>
      </c>
      <c r="L95" s="34" t="str">
        <f>IF(ISNUMBER(I95), I95/150, "")</f>
        <v/>
      </c>
      <c r="M95" s="76" t="s">
        <v>345</v>
      </c>
      <c r="N95" s="124"/>
      <c r="O95" s="125"/>
      <c r="P95" s="125"/>
      <c r="Q95" s="126"/>
    </row>
    <row r="96" spans="1:22" ht="12" customHeight="1" x14ac:dyDescent="0.2">
      <c r="A96" s="52">
        <v>544</v>
      </c>
      <c r="B96" s="82">
        <v>99</v>
      </c>
      <c r="C96" s="27"/>
      <c r="D96" s="29" t="s">
        <v>348</v>
      </c>
      <c r="E96" s="49" t="s">
        <v>76</v>
      </c>
      <c r="F96" s="31" t="s">
        <v>349</v>
      </c>
      <c r="G96" s="31" t="s">
        <v>350</v>
      </c>
      <c r="H96" s="29" t="s">
        <v>351</v>
      </c>
      <c r="I96" s="16"/>
      <c r="J96" s="90" t="s">
        <v>35</v>
      </c>
      <c r="K96" s="75" t="s">
        <v>352</v>
      </c>
      <c r="L96" s="34" t="str">
        <f>IF(ISNUMBER(I96), I96/150, "")</f>
        <v/>
      </c>
      <c r="M96" s="76" t="s">
        <v>345</v>
      </c>
      <c r="O96" s="127"/>
      <c r="P96" s="38"/>
      <c r="Q96" s="39"/>
    </row>
    <row r="97" spans="1:22" ht="12" customHeight="1" x14ac:dyDescent="0.2">
      <c r="A97" s="27">
        <v>553</v>
      </c>
      <c r="B97" s="82">
        <v>99</v>
      </c>
      <c r="C97" s="27"/>
      <c r="D97" s="128" t="s">
        <v>353</v>
      </c>
      <c r="E97" s="49" t="s">
        <v>354</v>
      </c>
      <c r="F97" s="117" t="s">
        <v>355</v>
      </c>
      <c r="G97" s="49" t="s">
        <v>24</v>
      </c>
      <c r="H97" s="128" t="s">
        <v>356</v>
      </c>
      <c r="I97" s="16">
        <f>40635+342000+93750</f>
        <v>476385</v>
      </c>
      <c r="J97" s="90" t="s">
        <v>124</v>
      </c>
      <c r="K97" s="75" t="s">
        <v>124</v>
      </c>
      <c r="L97" s="34">
        <f>IF(ISNUMBER(I97), I97/150, "")</f>
        <v>3175.9</v>
      </c>
      <c r="M97" s="129" t="s">
        <v>345</v>
      </c>
      <c r="N97" s="124"/>
      <c r="O97" s="43"/>
      <c r="P97" s="49"/>
      <c r="Q97" s="130"/>
      <c r="V97" s="9">
        <v>10</v>
      </c>
    </row>
    <row r="98" spans="1:22" ht="12" customHeight="1" x14ac:dyDescent="0.2">
      <c r="A98" s="27">
        <v>559</v>
      </c>
      <c r="B98" s="82">
        <v>99</v>
      </c>
      <c r="C98" s="27"/>
      <c r="D98" s="29" t="s">
        <v>357</v>
      </c>
      <c r="E98" s="49" t="s">
        <v>221</v>
      </c>
      <c r="F98" s="31" t="s">
        <v>358</v>
      </c>
      <c r="G98" s="31" t="s">
        <v>24</v>
      </c>
      <c r="H98" s="29" t="s">
        <v>359</v>
      </c>
      <c r="I98" s="16">
        <f>31350+14401.8</f>
        <v>45751.8</v>
      </c>
      <c r="J98" s="90" t="s">
        <v>35</v>
      </c>
      <c r="K98" s="75">
        <v>46126</v>
      </c>
      <c r="L98" s="34">
        <f>IF(ISNUMBER(I98), I98/150, "")</f>
        <v>305.012</v>
      </c>
      <c r="M98" s="76" t="s">
        <v>345</v>
      </c>
      <c r="N98" s="77"/>
      <c r="O98" s="131"/>
      <c r="P98" s="125"/>
      <c r="Q98" s="126"/>
      <c r="R98" s="40" t="s">
        <v>185</v>
      </c>
      <c r="S98" s="40" t="s">
        <v>185</v>
      </c>
      <c r="T98" s="40" t="s">
        <v>185</v>
      </c>
      <c r="U98" s="40" t="s">
        <v>185</v>
      </c>
    </row>
    <row r="99" spans="1:22" ht="12" customHeight="1" x14ac:dyDescent="0.2">
      <c r="A99" s="65">
        <v>670</v>
      </c>
      <c r="B99" s="82">
        <v>99</v>
      </c>
      <c r="D99" s="29" t="s">
        <v>360</v>
      </c>
      <c r="F99" s="31" t="s">
        <v>361</v>
      </c>
      <c r="G99" s="50" t="s">
        <v>24</v>
      </c>
      <c r="H99" s="29" t="s">
        <v>362</v>
      </c>
      <c r="I99" s="16">
        <v>95700</v>
      </c>
      <c r="J99" s="107" t="s">
        <v>363</v>
      </c>
      <c r="K99" s="75"/>
      <c r="L99" s="34">
        <f>IF(ISNUMBER(I99), I99/150, "")</f>
        <v>638</v>
      </c>
      <c r="M99" s="35" t="s">
        <v>345</v>
      </c>
      <c r="N99" s="77"/>
      <c r="O99" s="131"/>
      <c r="P99" s="68" t="s">
        <v>45</v>
      </c>
      <c r="Q99" s="69">
        <v>46142</v>
      </c>
    </row>
    <row r="100" spans="1:22" ht="12" customHeight="1" x14ac:dyDescent="0.2">
      <c r="A100" s="27">
        <v>309</v>
      </c>
      <c r="B100" s="82">
        <v>100</v>
      </c>
      <c r="C100" s="27">
        <v>55</v>
      </c>
      <c r="D100" s="78" t="s">
        <v>364</v>
      </c>
      <c r="E100" s="49" t="s">
        <v>268</v>
      </c>
      <c r="F100" s="31" t="s">
        <v>32</v>
      </c>
      <c r="G100" s="31" t="s">
        <v>251</v>
      </c>
      <c r="H100" s="29" t="s">
        <v>365</v>
      </c>
      <c r="I100" s="16"/>
      <c r="J100" s="32" t="s">
        <v>35</v>
      </c>
      <c r="K100" s="75" t="s">
        <v>35</v>
      </c>
      <c r="L100" s="34" t="str">
        <f>IF(ISNUMBER(I100), I100/150, "")</f>
        <v/>
      </c>
      <c r="M100" s="35" t="s">
        <v>112</v>
      </c>
      <c r="O100" s="38"/>
      <c r="P100" s="38"/>
      <c r="Q100" s="39"/>
    </row>
    <row r="101" spans="1:22" ht="12" customHeight="1" x14ac:dyDescent="0.2">
      <c r="A101" s="27">
        <v>527</v>
      </c>
      <c r="B101" s="82">
        <v>100</v>
      </c>
      <c r="C101" s="27">
        <v>55</v>
      </c>
      <c r="D101" s="29" t="s">
        <v>366</v>
      </c>
      <c r="E101" s="49" t="s">
        <v>268</v>
      </c>
      <c r="F101" s="31" t="s">
        <v>367</v>
      </c>
      <c r="G101" s="31" t="s">
        <v>24</v>
      </c>
      <c r="I101" s="16"/>
      <c r="J101" s="32" t="s">
        <v>35</v>
      </c>
      <c r="K101" s="75" t="s">
        <v>35</v>
      </c>
      <c r="L101" s="34" t="str">
        <f>IF(ISNUMBER(I101), I101/150, "")</f>
        <v/>
      </c>
      <c r="M101" s="35" t="s">
        <v>112</v>
      </c>
      <c r="O101" s="38"/>
      <c r="P101" s="38"/>
      <c r="Q101" s="39"/>
    </row>
    <row r="102" spans="1:22" ht="12" customHeight="1" x14ac:dyDescent="0.2">
      <c r="A102" s="65">
        <v>10</v>
      </c>
      <c r="B102" s="82">
        <v>100</v>
      </c>
      <c r="D102" s="29" t="s">
        <v>368</v>
      </c>
      <c r="E102" s="30" t="s">
        <v>80</v>
      </c>
      <c r="F102" s="31" t="s">
        <v>23</v>
      </c>
      <c r="G102" s="31" t="s">
        <v>251</v>
      </c>
      <c r="H102" s="29" t="s">
        <v>369</v>
      </c>
      <c r="I102" s="60"/>
      <c r="J102" s="32" t="s">
        <v>35</v>
      </c>
      <c r="K102" s="75" t="s">
        <v>35</v>
      </c>
      <c r="L102" s="34" t="str">
        <f>IF(ISNUMBER(I102), I102/150, "")</f>
        <v/>
      </c>
      <c r="M102" s="35" t="s">
        <v>112</v>
      </c>
    </row>
    <row r="103" spans="1:22" ht="12" customHeight="1" x14ac:dyDescent="0.2">
      <c r="A103" s="65">
        <v>78</v>
      </c>
      <c r="B103" s="82">
        <v>100</v>
      </c>
      <c r="D103" s="29" t="s">
        <v>370</v>
      </c>
      <c r="F103" s="31" t="s">
        <v>371</v>
      </c>
      <c r="G103" s="31" t="s">
        <v>251</v>
      </c>
      <c r="I103" s="16">
        <f>50000</f>
        <v>50000</v>
      </c>
      <c r="J103" s="32" t="s">
        <v>35</v>
      </c>
      <c r="K103" s="75" t="s">
        <v>35</v>
      </c>
      <c r="L103" s="34">
        <f>IF(ISNUMBER(I103), I103/150, "")</f>
        <v>333.33333333333331</v>
      </c>
      <c r="M103" s="35" t="s">
        <v>112</v>
      </c>
    </row>
    <row r="104" spans="1:22" ht="12" customHeight="1" x14ac:dyDescent="0.2">
      <c r="A104" s="27">
        <v>81</v>
      </c>
      <c r="B104" s="82">
        <v>100</v>
      </c>
      <c r="C104" s="27"/>
      <c r="D104" s="29" t="s">
        <v>372</v>
      </c>
      <c r="F104" s="31" t="s">
        <v>373</v>
      </c>
      <c r="G104" s="31" t="s">
        <v>251</v>
      </c>
      <c r="I104" s="16"/>
      <c r="J104" s="32" t="s">
        <v>35</v>
      </c>
      <c r="K104" s="75" t="s">
        <v>35</v>
      </c>
      <c r="L104" s="34" t="str">
        <f>IF(ISNUMBER(I104), I104/150, "")</f>
        <v/>
      </c>
      <c r="M104" s="35" t="s">
        <v>112</v>
      </c>
    </row>
    <row r="105" spans="1:22" ht="12" customHeight="1" x14ac:dyDescent="0.2">
      <c r="A105" s="65">
        <v>93</v>
      </c>
      <c r="B105" s="82">
        <v>100</v>
      </c>
      <c r="D105" s="29" t="s">
        <v>374</v>
      </c>
      <c r="F105" s="31" t="s">
        <v>371</v>
      </c>
      <c r="G105" s="31" t="s">
        <v>251</v>
      </c>
      <c r="H105" s="29" t="s">
        <v>375</v>
      </c>
      <c r="I105" s="16"/>
      <c r="J105" s="32" t="s">
        <v>35</v>
      </c>
      <c r="K105" s="75" t="s">
        <v>35</v>
      </c>
      <c r="L105" s="34" t="str">
        <f>IF(ISNUMBER(I105), I105/150, "")</f>
        <v/>
      </c>
      <c r="M105" s="35" t="s">
        <v>112</v>
      </c>
    </row>
    <row r="106" spans="1:22" ht="12" customHeight="1" x14ac:dyDescent="0.2">
      <c r="A106" s="65">
        <v>97</v>
      </c>
      <c r="B106" s="82">
        <v>100</v>
      </c>
      <c r="D106" s="29" t="s">
        <v>376</v>
      </c>
      <c r="F106" s="31" t="s">
        <v>341</v>
      </c>
      <c r="G106" s="31" t="s">
        <v>251</v>
      </c>
      <c r="H106" s="29" t="s">
        <v>377</v>
      </c>
      <c r="I106" s="16">
        <f>5000</f>
        <v>5000</v>
      </c>
      <c r="J106" s="32" t="s">
        <v>35</v>
      </c>
      <c r="K106" s="75" t="s">
        <v>35</v>
      </c>
      <c r="L106" s="34">
        <f>IF(ISNUMBER(I106), I106/150, "")</f>
        <v>33.333333333333336</v>
      </c>
      <c r="M106" s="35" t="s">
        <v>112</v>
      </c>
    </row>
    <row r="107" spans="1:22" ht="12" customHeight="1" x14ac:dyDescent="0.2">
      <c r="A107" s="65">
        <v>172</v>
      </c>
      <c r="B107" s="82">
        <v>100</v>
      </c>
      <c r="D107" s="29" t="s">
        <v>378</v>
      </c>
      <c r="F107" s="31" t="s">
        <v>148</v>
      </c>
      <c r="G107" s="31" t="s">
        <v>251</v>
      </c>
      <c r="I107" s="16"/>
      <c r="J107" s="32" t="s">
        <v>35</v>
      </c>
      <c r="K107" s="75" t="s">
        <v>35</v>
      </c>
      <c r="L107" s="34" t="str">
        <f>IF(ISNUMBER(I107), I107/150, "")</f>
        <v/>
      </c>
      <c r="M107" s="35" t="s">
        <v>112</v>
      </c>
    </row>
    <row r="108" spans="1:22" ht="12" customHeight="1" x14ac:dyDescent="0.2">
      <c r="A108" s="27">
        <v>181</v>
      </c>
      <c r="B108" s="82">
        <v>100</v>
      </c>
      <c r="C108" s="27"/>
      <c r="D108" s="29" t="s">
        <v>379</v>
      </c>
      <c r="F108" s="31" t="s">
        <v>136</v>
      </c>
      <c r="G108" s="31" t="s">
        <v>251</v>
      </c>
      <c r="H108" s="29" t="s">
        <v>380</v>
      </c>
      <c r="I108" s="16"/>
      <c r="J108" s="32" t="s">
        <v>35</v>
      </c>
      <c r="K108" s="75" t="s">
        <v>35</v>
      </c>
      <c r="L108" s="34" t="str">
        <f>IF(ISNUMBER(I108), I108/150, "")</f>
        <v/>
      </c>
      <c r="M108" s="35" t="s">
        <v>112</v>
      </c>
    </row>
    <row r="109" spans="1:22" ht="12" customHeight="1" x14ac:dyDescent="0.2">
      <c r="A109" s="27">
        <v>183</v>
      </c>
      <c r="B109" s="82">
        <v>100</v>
      </c>
      <c r="C109" s="27"/>
      <c r="D109" s="29" t="s">
        <v>381</v>
      </c>
      <c r="F109" s="31" t="s">
        <v>136</v>
      </c>
      <c r="G109" s="31" t="s">
        <v>251</v>
      </c>
      <c r="I109" s="16"/>
      <c r="J109" s="32" t="s">
        <v>35</v>
      </c>
      <c r="K109" s="75" t="s">
        <v>35</v>
      </c>
      <c r="L109" s="34" t="str">
        <f>IF(ISNUMBER(I109), I109/150, "")</f>
        <v/>
      </c>
      <c r="M109" s="35" t="s">
        <v>112</v>
      </c>
    </row>
    <row r="110" spans="1:22" ht="12" customHeight="1" x14ac:dyDescent="0.2">
      <c r="A110" s="65">
        <v>236</v>
      </c>
      <c r="B110" s="82">
        <v>100</v>
      </c>
      <c r="D110" s="29" t="s">
        <v>382</v>
      </c>
      <c r="F110" s="104"/>
      <c r="G110" s="31" t="s">
        <v>251</v>
      </c>
      <c r="H110" s="29" t="s">
        <v>383</v>
      </c>
      <c r="I110" s="16"/>
      <c r="J110" s="32" t="s">
        <v>35</v>
      </c>
      <c r="K110" s="75" t="s">
        <v>35</v>
      </c>
      <c r="L110" s="34" t="str">
        <f>IF(ISNUMBER(I110), I110/150, "")</f>
        <v/>
      </c>
      <c r="M110" s="35" t="s">
        <v>112</v>
      </c>
    </row>
    <row r="111" spans="1:22" ht="12" customHeight="1" x14ac:dyDescent="0.2">
      <c r="A111" s="65">
        <v>257</v>
      </c>
      <c r="B111" s="82">
        <v>100</v>
      </c>
      <c r="D111" s="29" t="s">
        <v>384</v>
      </c>
      <c r="E111" s="30" t="s">
        <v>221</v>
      </c>
      <c r="F111" s="31" t="s">
        <v>39</v>
      </c>
      <c r="G111" s="50" t="s">
        <v>24</v>
      </c>
      <c r="H111" s="29" t="s">
        <v>385</v>
      </c>
      <c r="I111" s="16"/>
      <c r="J111" s="32" t="s">
        <v>35</v>
      </c>
      <c r="K111" s="75" t="s">
        <v>35</v>
      </c>
      <c r="L111" s="34" t="str">
        <f>IF(ISNUMBER(I111), I111/150, "")</f>
        <v/>
      </c>
      <c r="M111" s="35" t="s">
        <v>112</v>
      </c>
    </row>
    <row r="112" spans="1:22" ht="12" customHeight="1" x14ac:dyDescent="0.2">
      <c r="A112" s="65">
        <v>260</v>
      </c>
      <c r="B112" s="82">
        <v>100</v>
      </c>
      <c r="D112" s="29" t="s">
        <v>386</v>
      </c>
      <c r="F112" s="31" t="s">
        <v>148</v>
      </c>
      <c r="G112" s="50" t="s">
        <v>24</v>
      </c>
      <c r="I112" s="16"/>
      <c r="J112" s="32" t="s">
        <v>35</v>
      </c>
      <c r="K112" s="75" t="s">
        <v>35</v>
      </c>
      <c r="L112" s="34" t="str">
        <f>IF(ISNUMBER(I112), I112/150, "")</f>
        <v/>
      </c>
      <c r="M112" s="35" t="s">
        <v>112</v>
      </c>
    </row>
    <row r="113" spans="1:22" ht="12" customHeight="1" x14ac:dyDescent="0.2">
      <c r="A113" s="27">
        <v>266</v>
      </c>
      <c r="B113" s="82">
        <v>100</v>
      </c>
      <c r="D113" s="29" t="s">
        <v>387</v>
      </c>
      <c r="F113" s="31" t="s">
        <v>320</v>
      </c>
      <c r="G113" s="50" t="s">
        <v>388</v>
      </c>
      <c r="H113" s="29" t="s">
        <v>389</v>
      </c>
      <c r="I113" s="16"/>
      <c r="J113" s="32" t="s">
        <v>35</v>
      </c>
      <c r="K113" s="75" t="s">
        <v>35</v>
      </c>
      <c r="L113" s="34" t="str">
        <f>IF(ISNUMBER(I113), I113/150, "")</f>
        <v/>
      </c>
      <c r="M113" s="35" t="s">
        <v>112</v>
      </c>
    </row>
    <row r="114" spans="1:22" ht="12" customHeight="1" x14ac:dyDescent="0.2">
      <c r="A114" s="27">
        <v>282</v>
      </c>
      <c r="B114" s="82">
        <v>100</v>
      </c>
      <c r="C114" s="27"/>
      <c r="D114" s="29" t="s">
        <v>390</v>
      </c>
      <c r="E114" s="49"/>
      <c r="F114" s="31" t="s">
        <v>161</v>
      </c>
      <c r="G114" s="31" t="s">
        <v>24</v>
      </c>
      <c r="H114" s="29" t="s">
        <v>391</v>
      </c>
      <c r="I114" s="16"/>
      <c r="J114" s="90" t="s">
        <v>124</v>
      </c>
      <c r="K114" s="75" t="s">
        <v>35</v>
      </c>
      <c r="L114" s="34" t="str">
        <f>IF(ISNUMBER(I114), I114/150, "")</f>
        <v/>
      </c>
      <c r="M114" s="35" t="s">
        <v>112</v>
      </c>
      <c r="O114" s="38"/>
      <c r="P114" s="38"/>
      <c r="Q114" s="39"/>
    </row>
    <row r="115" spans="1:22" ht="12" customHeight="1" x14ac:dyDescent="0.2">
      <c r="A115" s="27">
        <v>303</v>
      </c>
      <c r="B115" s="82">
        <v>100</v>
      </c>
      <c r="C115" s="27"/>
      <c r="D115" s="29" t="s">
        <v>392</v>
      </c>
      <c r="E115" s="49"/>
      <c r="F115" s="31" t="s">
        <v>205</v>
      </c>
      <c r="G115" s="31" t="s">
        <v>251</v>
      </c>
      <c r="H115" s="29" t="s">
        <v>393</v>
      </c>
      <c r="I115" s="16"/>
      <c r="J115" s="32" t="s">
        <v>35</v>
      </c>
      <c r="K115" s="75" t="s">
        <v>35</v>
      </c>
      <c r="L115" s="34" t="str">
        <f>IF(ISNUMBER(I115), I115/150, "")</f>
        <v/>
      </c>
      <c r="M115" s="35" t="s">
        <v>112</v>
      </c>
      <c r="O115" s="38"/>
      <c r="P115" s="38"/>
      <c r="Q115" s="39"/>
    </row>
    <row r="116" spans="1:22" ht="12.75" customHeight="1" x14ac:dyDescent="0.2">
      <c r="A116" s="27">
        <v>396</v>
      </c>
      <c r="B116" s="82">
        <v>100</v>
      </c>
      <c r="C116" s="27"/>
      <c r="D116" s="29" t="s">
        <v>394</v>
      </c>
      <c r="E116" s="113" t="s">
        <v>66</v>
      </c>
      <c r="F116" s="31" t="s">
        <v>66</v>
      </c>
      <c r="G116" s="31" t="s">
        <v>81</v>
      </c>
      <c r="H116" s="29" t="s">
        <v>395</v>
      </c>
      <c r="I116" s="16"/>
      <c r="J116" s="32" t="s">
        <v>35</v>
      </c>
      <c r="K116" s="75" t="s">
        <v>35</v>
      </c>
      <c r="L116" s="34" t="str">
        <f>IF(ISNUMBER(I116), I116/150, "")</f>
        <v/>
      </c>
      <c r="M116" s="35" t="s">
        <v>112</v>
      </c>
      <c r="O116" s="38"/>
      <c r="P116" s="38"/>
      <c r="Q116" s="39"/>
    </row>
    <row r="117" spans="1:22" ht="12" customHeight="1" x14ac:dyDescent="0.2">
      <c r="A117" s="27">
        <v>397</v>
      </c>
      <c r="B117" s="82">
        <v>100</v>
      </c>
      <c r="C117" s="27"/>
      <c r="D117" s="29" t="s">
        <v>396</v>
      </c>
      <c r="E117" s="113" t="s">
        <v>66</v>
      </c>
      <c r="F117" s="31" t="s">
        <v>66</v>
      </c>
      <c r="G117" s="31" t="s">
        <v>81</v>
      </c>
      <c r="H117" s="29" t="s">
        <v>395</v>
      </c>
      <c r="I117" s="16"/>
      <c r="J117" s="32" t="s">
        <v>35</v>
      </c>
      <c r="K117" s="75" t="s">
        <v>35</v>
      </c>
      <c r="L117" s="34" t="str">
        <f>IF(ISNUMBER(I117), I117/150, "")</f>
        <v/>
      </c>
      <c r="M117" s="35" t="s">
        <v>112</v>
      </c>
      <c r="O117" s="38"/>
      <c r="P117" s="38"/>
      <c r="Q117" s="39"/>
    </row>
    <row r="118" spans="1:22" ht="12" customHeight="1" x14ac:dyDescent="0.2">
      <c r="A118" s="27">
        <v>398</v>
      </c>
      <c r="B118" s="82">
        <v>100</v>
      </c>
      <c r="C118" s="27"/>
      <c r="D118" s="29" t="s">
        <v>397</v>
      </c>
      <c r="E118" s="113" t="s">
        <v>66</v>
      </c>
      <c r="F118" s="31" t="s">
        <v>66</v>
      </c>
      <c r="G118" s="31" t="s">
        <v>81</v>
      </c>
      <c r="H118" s="29" t="s">
        <v>395</v>
      </c>
      <c r="I118" s="16"/>
      <c r="J118" s="32" t="s">
        <v>35</v>
      </c>
      <c r="K118" s="75" t="s">
        <v>35</v>
      </c>
      <c r="L118" s="34" t="str">
        <f>IF(ISNUMBER(I118), I118/150, "")</f>
        <v/>
      </c>
      <c r="M118" s="35" t="s">
        <v>112</v>
      </c>
      <c r="O118" s="38"/>
      <c r="P118" s="38"/>
      <c r="Q118" s="39"/>
    </row>
    <row r="119" spans="1:22" ht="14.25" customHeight="1" x14ac:dyDescent="0.2">
      <c r="A119" s="27">
        <v>399</v>
      </c>
      <c r="B119" s="82">
        <v>100</v>
      </c>
      <c r="C119" s="27"/>
      <c r="D119" s="29" t="s">
        <v>398</v>
      </c>
      <c r="E119" s="113" t="s">
        <v>66</v>
      </c>
      <c r="F119" s="31" t="s">
        <v>66</v>
      </c>
      <c r="G119" s="31" t="s">
        <v>81</v>
      </c>
      <c r="H119" s="29" t="s">
        <v>395</v>
      </c>
      <c r="I119" s="16"/>
      <c r="J119" s="32" t="s">
        <v>35</v>
      </c>
      <c r="K119" s="75" t="s">
        <v>35</v>
      </c>
      <c r="L119" s="34" t="str">
        <f>IF(ISNUMBER(I119), I119/150, "")</f>
        <v/>
      </c>
      <c r="M119" s="35" t="s">
        <v>112</v>
      </c>
      <c r="O119" s="38"/>
      <c r="P119" s="38"/>
      <c r="Q119" s="39"/>
    </row>
    <row r="120" spans="1:22" ht="12" customHeight="1" x14ac:dyDescent="0.2">
      <c r="A120" s="27">
        <v>400</v>
      </c>
      <c r="B120" s="82">
        <v>100</v>
      </c>
      <c r="C120" s="27"/>
      <c r="D120" s="29" t="s">
        <v>399</v>
      </c>
      <c r="E120" s="113" t="s">
        <v>66</v>
      </c>
      <c r="F120" s="31" t="s">
        <v>66</v>
      </c>
      <c r="G120" s="31" t="s">
        <v>81</v>
      </c>
      <c r="H120" s="29" t="s">
        <v>395</v>
      </c>
      <c r="I120" s="16"/>
      <c r="J120" s="32" t="s">
        <v>35</v>
      </c>
      <c r="K120" s="75" t="s">
        <v>35</v>
      </c>
      <c r="L120" s="34" t="str">
        <f>IF(ISNUMBER(I120), I120/150, "")</f>
        <v/>
      </c>
      <c r="M120" s="35" t="s">
        <v>112</v>
      </c>
      <c r="O120" s="38"/>
      <c r="P120" s="38"/>
      <c r="Q120" s="39"/>
    </row>
    <row r="121" spans="1:22" ht="12" customHeight="1" x14ac:dyDescent="0.2">
      <c r="A121" s="27">
        <v>401</v>
      </c>
      <c r="B121" s="82">
        <v>100</v>
      </c>
      <c r="C121" s="27"/>
      <c r="D121" s="29" t="s">
        <v>400</v>
      </c>
      <c r="E121" s="113" t="s">
        <v>66</v>
      </c>
      <c r="F121" s="31" t="s">
        <v>66</v>
      </c>
      <c r="G121" s="31" t="s">
        <v>81</v>
      </c>
      <c r="H121" s="29" t="s">
        <v>395</v>
      </c>
      <c r="I121" s="16"/>
      <c r="J121" s="32" t="s">
        <v>35</v>
      </c>
      <c r="K121" s="75" t="s">
        <v>35</v>
      </c>
      <c r="L121" s="34" t="str">
        <f>IF(ISNUMBER(I121), I121/150, "")</f>
        <v/>
      </c>
      <c r="M121" s="35" t="s">
        <v>112</v>
      </c>
      <c r="O121" s="38"/>
      <c r="P121" s="38"/>
      <c r="Q121" s="39"/>
    </row>
    <row r="122" spans="1:22" ht="12" customHeight="1" x14ac:dyDescent="0.2">
      <c r="A122" s="27">
        <v>403</v>
      </c>
      <c r="B122" s="82">
        <v>100</v>
      </c>
      <c r="C122" s="27"/>
      <c r="D122" s="29" t="s">
        <v>401</v>
      </c>
      <c r="E122" s="49" t="s">
        <v>402</v>
      </c>
      <c r="F122" s="31" t="s">
        <v>320</v>
      </c>
      <c r="G122" s="31" t="s">
        <v>388</v>
      </c>
      <c r="H122" s="29" t="s">
        <v>403</v>
      </c>
      <c r="I122" s="16"/>
      <c r="J122" s="32" t="s">
        <v>35</v>
      </c>
      <c r="K122" s="75" t="s">
        <v>35</v>
      </c>
      <c r="L122" s="34" t="str">
        <f>IF(ISNUMBER(I122), I122/150, "")</f>
        <v/>
      </c>
      <c r="M122" s="35" t="s">
        <v>112</v>
      </c>
      <c r="O122" s="38"/>
      <c r="P122" s="38"/>
      <c r="Q122" s="39"/>
    </row>
    <row r="123" spans="1:22" ht="12" customHeight="1" x14ac:dyDescent="0.2">
      <c r="A123" s="27">
        <v>422</v>
      </c>
      <c r="B123" s="82">
        <v>100</v>
      </c>
      <c r="C123" s="27"/>
      <c r="D123" s="29" t="s">
        <v>404</v>
      </c>
      <c r="E123" s="49"/>
      <c r="F123" s="31" t="s">
        <v>205</v>
      </c>
      <c r="G123" s="31" t="s">
        <v>24</v>
      </c>
      <c r="I123" s="16"/>
      <c r="J123" s="32" t="s">
        <v>35</v>
      </c>
      <c r="K123" s="75" t="s">
        <v>35</v>
      </c>
      <c r="L123" s="34" t="str">
        <f>IF(ISNUMBER(I123), I123/150, "")</f>
        <v/>
      </c>
      <c r="M123" s="35" t="s">
        <v>112</v>
      </c>
      <c r="O123" s="38"/>
      <c r="P123" s="38"/>
      <c r="Q123" s="39"/>
    </row>
    <row r="124" spans="1:22" ht="12" customHeight="1" x14ac:dyDescent="0.2">
      <c r="A124" s="27">
        <v>508</v>
      </c>
      <c r="B124" s="82">
        <v>100</v>
      </c>
      <c r="C124" s="27"/>
      <c r="D124" s="29" t="s">
        <v>405</v>
      </c>
      <c r="E124" s="49"/>
      <c r="F124" s="31" t="s">
        <v>406</v>
      </c>
      <c r="G124" s="31" t="s">
        <v>24</v>
      </c>
      <c r="H124" s="29" t="s">
        <v>407</v>
      </c>
      <c r="I124" s="16"/>
      <c r="J124" s="32" t="s">
        <v>35</v>
      </c>
      <c r="K124" s="75" t="s">
        <v>35</v>
      </c>
      <c r="L124" s="34" t="str">
        <f>IF(ISNUMBER(I124), I124/150, "")</f>
        <v/>
      </c>
      <c r="M124" s="35" t="s">
        <v>112</v>
      </c>
      <c r="P124" s="38"/>
      <c r="Q124" s="39"/>
    </row>
    <row r="125" spans="1:22" ht="12" customHeight="1" x14ac:dyDescent="0.2">
      <c r="A125" s="27">
        <v>574</v>
      </c>
      <c r="B125" s="82">
        <v>100</v>
      </c>
      <c r="C125" s="27"/>
      <c r="D125" s="29" t="s">
        <v>408</v>
      </c>
      <c r="E125" s="49"/>
      <c r="F125" s="31" t="s">
        <v>32</v>
      </c>
      <c r="G125" s="31" t="s">
        <v>24</v>
      </c>
      <c r="H125" s="29" t="s">
        <v>409</v>
      </c>
      <c r="I125" s="16"/>
      <c r="J125" s="32" t="s">
        <v>35</v>
      </c>
      <c r="K125" s="75" t="s">
        <v>35</v>
      </c>
      <c r="L125" s="34" t="str">
        <f>IF(ISNUMBER(I125), I125/150, "")</f>
        <v/>
      </c>
      <c r="M125" s="35" t="s">
        <v>112</v>
      </c>
      <c r="O125" s="38"/>
      <c r="P125" s="38"/>
      <c r="Q125" s="39"/>
      <c r="V125" s="9">
        <v>6</v>
      </c>
    </row>
    <row r="126" spans="1:22" ht="12" customHeight="1" x14ac:dyDescent="0.2">
      <c r="A126" s="27">
        <v>603</v>
      </c>
      <c r="B126" s="82">
        <v>100</v>
      </c>
      <c r="C126" s="27"/>
      <c r="D126" s="29" t="s">
        <v>410</v>
      </c>
      <c r="E126" s="49"/>
      <c r="F126" s="31" t="s">
        <v>411</v>
      </c>
      <c r="G126" s="31" t="s">
        <v>251</v>
      </c>
      <c r="H126" s="29" t="s">
        <v>412</v>
      </c>
      <c r="I126" s="16">
        <f>50000</f>
        <v>50000</v>
      </c>
      <c r="J126" s="32" t="s">
        <v>35</v>
      </c>
      <c r="K126" s="75" t="s">
        <v>35</v>
      </c>
      <c r="L126" s="34">
        <f>IF(ISNUMBER(I126), I126/150, "")</f>
        <v>333.33333333333331</v>
      </c>
      <c r="M126" s="35" t="s">
        <v>112</v>
      </c>
      <c r="N126" s="124"/>
      <c r="O126" s="132"/>
      <c r="P126" s="132"/>
      <c r="Q126" s="133"/>
    </row>
    <row r="127" spans="1:22" ht="12" customHeight="1" x14ac:dyDescent="0.2">
      <c r="A127" s="27">
        <v>616</v>
      </c>
      <c r="B127" s="82">
        <v>100</v>
      </c>
      <c r="D127" s="29" t="s">
        <v>413</v>
      </c>
      <c r="E127" s="30" t="s">
        <v>297</v>
      </c>
      <c r="F127" s="31" t="s">
        <v>32</v>
      </c>
      <c r="G127" s="50" t="s">
        <v>24</v>
      </c>
      <c r="H127" s="29" t="s">
        <v>414</v>
      </c>
      <c r="I127" s="16"/>
      <c r="J127" s="32" t="s">
        <v>35</v>
      </c>
      <c r="K127" s="75" t="s">
        <v>35</v>
      </c>
      <c r="L127" s="34" t="str">
        <f>IF(ISNUMBER(I127), I127/150, "")</f>
        <v/>
      </c>
      <c r="M127" s="35" t="s">
        <v>112</v>
      </c>
      <c r="O127" s="38"/>
    </row>
    <row r="128" spans="1:22" ht="12" customHeight="1" x14ac:dyDescent="0.2">
      <c r="A128" s="27">
        <v>4</v>
      </c>
      <c r="B128" s="82">
        <v>101</v>
      </c>
      <c r="C128" s="27">
        <v>55</v>
      </c>
      <c r="D128" s="29" t="s">
        <v>415</v>
      </c>
      <c r="E128" s="117" t="s">
        <v>268</v>
      </c>
      <c r="F128" s="31" t="s">
        <v>271</v>
      </c>
      <c r="G128" s="31" t="s">
        <v>33</v>
      </c>
      <c r="H128" s="29" t="s">
        <v>286</v>
      </c>
      <c r="I128" s="60"/>
      <c r="J128" s="32" t="s">
        <v>35</v>
      </c>
      <c r="K128" s="75" t="s">
        <v>35</v>
      </c>
      <c r="L128" s="34" t="str">
        <f>IF(ISNUMBER(I128), I128/150, "")</f>
        <v/>
      </c>
      <c r="M128" s="35" t="s">
        <v>112</v>
      </c>
      <c r="O128" s="38"/>
      <c r="P128" s="38"/>
      <c r="Q128" s="39"/>
    </row>
    <row r="129" spans="1:21" ht="12" customHeight="1" x14ac:dyDescent="0.2">
      <c r="A129" s="134">
        <v>19</v>
      </c>
      <c r="B129" s="82">
        <v>101</v>
      </c>
      <c r="C129" s="65">
        <v>55</v>
      </c>
      <c r="D129" s="29" t="s">
        <v>416</v>
      </c>
      <c r="E129" s="49" t="s">
        <v>268</v>
      </c>
      <c r="F129" s="31" t="s">
        <v>341</v>
      </c>
      <c r="G129" s="50" t="s">
        <v>33</v>
      </c>
      <c r="H129" s="29" t="s">
        <v>417</v>
      </c>
      <c r="I129" s="16">
        <f>50000</f>
        <v>50000</v>
      </c>
      <c r="J129" s="32" t="s">
        <v>35</v>
      </c>
      <c r="K129" s="75" t="s">
        <v>35</v>
      </c>
      <c r="L129" s="34">
        <f>IF(ISNUMBER(I129), I129/150, "")</f>
        <v>333.33333333333331</v>
      </c>
      <c r="M129" s="35" t="s">
        <v>112</v>
      </c>
    </row>
    <row r="130" spans="1:21" ht="12" customHeight="1" x14ac:dyDescent="0.2">
      <c r="A130" s="27">
        <v>53</v>
      </c>
      <c r="B130" s="82">
        <v>101</v>
      </c>
      <c r="C130" s="65">
        <v>55</v>
      </c>
      <c r="D130" s="29" t="s">
        <v>418</v>
      </c>
      <c r="E130" s="49" t="s">
        <v>268</v>
      </c>
      <c r="F130" s="31" t="s">
        <v>32</v>
      </c>
      <c r="G130" s="50" t="s">
        <v>33</v>
      </c>
      <c r="H130" s="29" t="s">
        <v>419</v>
      </c>
      <c r="I130" s="16"/>
      <c r="J130" s="32" t="s">
        <v>35</v>
      </c>
      <c r="K130" s="75" t="s">
        <v>35</v>
      </c>
      <c r="L130" s="34" t="str">
        <f>IF(ISNUMBER(I130), I130/150, "")</f>
        <v/>
      </c>
      <c r="M130" s="35" t="s">
        <v>112</v>
      </c>
      <c r="N130" s="77"/>
    </row>
    <row r="131" spans="1:21" ht="12" customHeight="1" x14ac:dyDescent="0.2">
      <c r="A131" s="27">
        <v>446</v>
      </c>
      <c r="B131" s="82">
        <v>101</v>
      </c>
      <c r="C131" s="27">
        <v>55</v>
      </c>
      <c r="D131" s="29" t="s">
        <v>420</v>
      </c>
      <c r="E131" s="117" t="s">
        <v>268</v>
      </c>
      <c r="F131" s="31" t="s">
        <v>421</v>
      </c>
      <c r="G131" s="104" t="s">
        <v>33</v>
      </c>
      <c r="H131" s="29" t="s">
        <v>422</v>
      </c>
      <c r="I131" s="16">
        <f>15000</f>
        <v>15000</v>
      </c>
      <c r="J131" s="32" t="s">
        <v>35</v>
      </c>
      <c r="K131" s="75" t="s">
        <v>35</v>
      </c>
      <c r="L131" s="34">
        <f>IF(ISNUMBER(I131), I131/150, "")</f>
        <v>100</v>
      </c>
      <c r="M131" s="35" t="s">
        <v>112</v>
      </c>
      <c r="O131" s="38"/>
      <c r="P131" s="38"/>
      <c r="Q131" s="39"/>
    </row>
    <row r="132" spans="1:21" ht="12" customHeight="1" x14ac:dyDescent="0.2">
      <c r="A132" s="27">
        <v>447</v>
      </c>
      <c r="B132" s="82">
        <v>101</v>
      </c>
      <c r="C132" s="27">
        <v>55</v>
      </c>
      <c r="D132" s="29" t="s">
        <v>423</v>
      </c>
      <c r="E132" s="117" t="s">
        <v>268</v>
      </c>
      <c r="F132" s="31" t="s">
        <v>421</v>
      </c>
      <c r="G132" s="104" t="s">
        <v>33</v>
      </c>
      <c r="H132" s="29" t="s">
        <v>424</v>
      </c>
      <c r="I132" s="16">
        <f>15000</f>
        <v>15000</v>
      </c>
      <c r="J132" s="32" t="s">
        <v>35</v>
      </c>
      <c r="K132" s="75" t="s">
        <v>35</v>
      </c>
      <c r="L132" s="34">
        <f>IF(ISNUMBER(I132), I132/150, "")</f>
        <v>100</v>
      </c>
      <c r="M132" s="35" t="s">
        <v>112</v>
      </c>
      <c r="O132" s="38"/>
      <c r="P132" s="38"/>
      <c r="Q132" s="39"/>
    </row>
    <row r="133" spans="1:21" ht="12" customHeight="1" x14ac:dyDescent="0.2">
      <c r="A133" s="27">
        <v>448</v>
      </c>
      <c r="B133" s="82">
        <v>101</v>
      </c>
      <c r="C133" s="27">
        <v>55</v>
      </c>
      <c r="D133" s="29" t="s">
        <v>425</v>
      </c>
      <c r="E133" s="117" t="s">
        <v>268</v>
      </c>
      <c r="F133" s="31" t="s">
        <v>421</v>
      </c>
      <c r="G133" s="104" t="s">
        <v>33</v>
      </c>
      <c r="H133" s="29" t="s">
        <v>426</v>
      </c>
      <c r="I133" s="16">
        <f>15000</f>
        <v>15000</v>
      </c>
      <c r="J133" s="32" t="s">
        <v>35</v>
      </c>
      <c r="K133" s="75" t="s">
        <v>35</v>
      </c>
      <c r="L133" s="34">
        <f>IF(ISNUMBER(I133), I133/150, "")</f>
        <v>100</v>
      </c>
      <c r="M133" s="35" t="s">
        <v>112</v>
      </c>
      <c r="O133" s="38"/>
      <c r="P133" s="38"/>
      <c r="Q133" s="39"/>
    </row>
    <row r="134" spans="1:21" ht="12" customHeight="1" x14ac:dyDescent="0.2">
      <c r="A134" s="27">
        <v>449</v>
      </c>
      <c r="B134" s="82">
        <v>101</v>
      </c>
      <c r="C134" s="27">
        <v>55</v>
      </c>
      <c r="D134" s="29" t="s">
        <v>427</v>
      </c>
      <c r="E134" s="117" t="s">
        <v>268</v>
      </c>
      <c r="F134" s="31" t="s">
        <v>421</v>
      </c>
      <c r="G134" s="104" t="s">
        <v>33</v>
      </c>
      <c r="H134" s="29" t="s">
        <v>428</v>
      </c>
      <c r="I134" s="16">
        <f>50000</f>
        <v>50000</v>
      </c>
      <c r="J134" s="32" t="s">
        <v>35</v>
      </c>
      <c r="K134" s="75" t="s">
        <v>35</v>
      </c>
      <c r="L134" s="34">
        <f>IF(ISNUMBER(I134), I134/150, "")</f>
        <v>333.33333333333331</v>
      </c>
      <c r="M134" s="35" t="s">
        <v>112</v>
      </c>
      <c r="O134" s="38"/>
      <c r="P134" s="38"/>
      <c r="Q134" s="39"/>
    </row>
    <row r="135" spans="1:21" ht="12" customHeight="1" x14ac:dyDescent="0.2">
      <c r="A135" s="27">
        <v>450</v>
      </c>
      <c r="B135" s="82">
        <v>101</v>
      </c>
      <c r="C135" s="27">
        <v>55</v>
      </c>
      <c r="D135" s="29" t="s">
        <v>429</v>
      </c>
      <c r="E135" s="117" t="s">
        <v>268</v>
      </c>
      <c r="F135" s="31" t="s">
        <v>421</v>
      </c>
      <c r="G135" s="104" t="s">
        <v>33</v>
      </c>
      <c r="H135" s="29" t="s">
        <v>430</v>
      </c>
      <c r="I135" s="16">
        <f>15000</f>
        <v>15000</v>
      </c>
      <c r="J135" s="32" t="s">
        <v>35</v>
      </c>
      <c r="K135" s="75" t="s">
        <v>35</v>
      </c>
      <c r="L135" s="34">
        <f>IF(ISNUMBER(I135), I135/150, "")</f>
        <v>100</v>
      </c>
      <c r="M135" s="35" t="s">
        <v>112</v>
      </c>
      <c r="O135" s="38"/>
      <c r="P135" s="38"/>
      <c r="Q135" s="39"/>
    </row>
    <row r="136" spans="1:21" ht="12" customHeight="1" x14ac:dyDescent="0.2">
      <c r="A136" s="27">
        <v>467</v>
      </c>
      <c r="B136" s="82">
        <v>101</v>
      </c>
      <c r="C136" s="27">
        <v>55</v>
      </c>
      <c r="D136" s="29" t="s">
        <v>431</v>
      </c>
      <c r="E136" s="117" t="s">
        <v>268</v>
      </c>
      <c r="F136" s="31" t="s">
        <v>341</v>
      </c>
      <c r="G136" s="46" t="s">
        <v>33</v>
      </c>
      <c r="H136" s="29" t="s">
        <v>432</v>
      </c>
      <c r="I136" s="16">
        <f>20000</f>
        <v>20000</v>
      </c>
      <c r="J136" s="32" t="s">
        <v>35</v>
      </c>
      <c r="K136" s="75" t="s">
        <v>35</v>
      </c>
      <c r="L136" s="34">
        <f>IF(ISNUMBER(I136), I136/150, "")</f>
        <v>133.33333333333334</v>
      </c>
      <c r="M136" s="35" t="s">
        <v>112</v>
      </c>
      <c r="O136" s="38"/>
      <c r="P136" s="38"/>
      <c r="Q136" s="39"/>
    </row>
    <row r="137" spans="1:21" ht="12" customHeight="1" x14ac:dyDescent="0.2">
      <c r="A137" s="65">
        <v>650</v>
      </c>
      <c r="B137" s="82">
        <v>101</v>
      </c>
      <c r="C137" s="65">
        <v>55</v>
      </c>
      <c r="D137" s="29" t="s">
        <v>433</v>
      </c>
      <c r="E137" s="49" t="s">
        <v>268</v>
      </c>
      <c r="F137" s="31" t="s">
        <v>32</v>
      </c>
      <c r="G137" s="50" t="s">
        <v>33</v>
      </c>
      <c r="H137" s="29" t="s">
        <v>434</v>
      </c>
      <c r="I137" s="16"/>
      <c r="J137" s="32" t="s">
        <v>35</v>
      </c>
      <c r="K137" s="75" t="s">
        <v>35</v>
      </c>
      <c r="L137" s="34" t="str">
        <f>IF(ISNUMBER(I137), I137/150, "")</f>
        <v/>
      </c>
      <c r="M137" s="35" t="s">
        <v>112</v>
      </c>
      <c r="P137" s="68" t="s">
        <v>246</v>
      </c>
      <c r="Q137" s="69">
        <v>46101</v>
      </c>
    </row>
    <row r="138" spans="1:21" ht="12" customHeight="1" x14ac:dyDescent="0.2">
      <c r="A138" s="65">
        <v>654</v>
      </c>
      <c r="B138" s="82">
        <v>101</v>
      </c>
      <c r="C138" s="65">
        <v>55</v>
      </c>
      <c r="D138" s="29" t="s">
        <v>435</v>
      </c>
      <c r="E138" s="49" t="s">
        <v>268</v>
      </c>
      <c r="F138" s="31" t="s">
        <v>32</v>
      </c>
      <c r="G138" s="50" t="s">
        <v>33</v>
      </c>
      <c r="H138" s="29" t="s">
        <v>436</v>
      </c>
      <c r="I138" s="16"/>
      <c r="J138" s="32" t="s">
        <v>35</v>
      </c>
      <c r="K138" s="75" t="s">
        <v>35</v>
      </c>
      <c r="L138" s="34" t="str">
        <f>IF(ISNUMBER(I138), I138/150, "")</f>
        <v/>
      </c>
      <c r="M138" s="35" t="s">
        <v>112</v>
      </c>
      <c r="P138" s="68" t="s">
        <v>246</v>
      </c>
      <c r="Q138" s="69">
        <v>46112</v>
      </c>
    </row>
    <row r="139" spans="1:21" ht="12" customHeight="1" x14ac:dyDescent="0.2">
      <c r="A139" s="65">
        <v>713</v>
      </c>
      <c r="B139" s="82">
        <v>111</v>
      </c>
      <c r="D139" s="29" t="s">
        <v>437</v>
      </c>
      <c r="E139" s="30" t="s">
        <v>66</v>
      </c>
      <c r="F139" s="50" t="s">
        <v>66</v>
      </c>
      <c r="G139" s="50" t="s">
        <v>24</v>
      </c>
      <c r="H139" s="29" t="s">
        <v>438</v>
      </c>
      <c r="J139" s="32" t="s">
        <v>35</v>
      </c>
      <c r="K139" s="75" t="s">
        <v>195</v>
      </c>
      <c r="L139" s="34" t="str">
        <f>IF(ISNUMBER(I139), I139/150, "")</f>
        <v/>
      </c>
      <c r="M139" s="35" t="s">
        <v>112</v>
      </c>
      <c r="N139" s="87">
        <v>46285</v>
      </c>
      <c r="O139" s="68" t="s">
        <v>44</v>
      </c>
      <c r="P139" s="68" t="s">
        <v>141</v>
      </c>
      <c r="Q139" s="69">
        <v>46197</v>
      </c>
      <c r="R139" s="112"/>
      <c r="S139" s="112"/>
      <c r="T139" s="112"/>
      <c r="U139" s="112"/>
    </row>
    <row r="140" spans="1:21" ht="12" customHeight="1" x14ac:dyDescent="0.2">
      <c r="A140" s="52">
        <v>718</v>
      </c>
      <c r="B140" s="82">
        <v>111</v>
      </c>
      <c r="C140" s="65">
        <v>55</v>
      </c>
      <c r="D140" s="29" t="s">
        <v>439</v>
      </c>
      <c r="E140" s="30" t="s">
        <v>440</v>
      </c>
      <c r="F140" s="50" t="s">
        <v>441</v>
      </c>
      <c r="G140" s="50" t="s">
        <v>24</v>
      </c>
      <c r="H140" s="29" t="s">
        <v>442</v>
      </c>
      <c r="J140" s="32" t="s">
        <v>35</v>
      </c>
      <c r="K140" s="75" t="s">
        <v>104</v>
      </c>
      <c r="L140" s="34" t="str">
        <f>IF(ISNUMBER(I140), I140/150, "")</f>
        <v/>
      </c>
      <c r="M140" s="35" t="s">
        <v>112</v>
      </c>
      <c r="N140" s="42" t="s">
        <v>443</v>
      </c>
      <c r="P140" s="68" t="s">
        <v>178</v>
      </c>
      <c r="Q140" s="69">
        <v>46204</v>
      </c>
      <c r="R140" s="135"/>
      <c r="S140" s="135"/>
      <c r="T140" s="135"/>
      <c r="U140" s="135"/>
    </row>
    <row r="141" spans="1:21" ht="12" customHeight="1" x14ac:dyDescent="0.2">
      <c r="A141" s="65">
        <v>710</v>
      </c>
      <c r="B141" s="82">
        <v>111</v>
      </c>
      <c r="C141" s="65">
        <v>55</v>
      </c>
      <c r="D141" s="29" t="s">
        <v>444</v>
      </c>
      <c r="E141" s="30" t="s">
        <v>445</v>
      </c>
      <c r="F141" s="50" t="s">
        <v>446</v>
      </c>
      <c r="G141" s="50" t="s">
        <v>24</v>
      </c>
      <c r="H141" s="29" t="s">
        <v>447</v>
      </c>
      <c r="J141" s="32" t="s">
        <v>35</v>
      </c>
      <c r="K141" s="75" t="s">
        <v>104</v>
      </c>
      <c r="L141" s="34" t="str">
        <f>IF(ISNUMBER(I141), I141/150, "")</f>
        <v/>
      </c>
      <c r="M141" s="35" t="s">
        <v>112</v>
      </c>
      <c r="N141" s="42" t="s">
        <v>448</v>
      </c>
      <c r="P141" s="68" t="s">
        <v>88</v>
      </c>
      <c r="Q141" s="69">
        <v>46191</v>
      </c>
      <c r="R141" s="20"/>
      <c r="S141" s="20"/>
      <c r="T141" s="20"/>
      <c r="U141" s="20"/>
    </row>
    <row r="142" spans="1:21" ht="12" customHeight="1" x14ac:dyDescent="0.2">
      <c r="A142" s="65">
        <v>270</v>
      </c>
      <c r="B142" s="82">
        <v>111</v>
      </c>
      <c r="C142" s="65">
        <v>55</v>
      </c>
      <c r="D142" s="29" t="s">
        <v>449</v>
      </c>
      <c r="E142" s="30" t="s">
        <v>268</v>
      </c>
      <c r="F142" s="31" t="s">
        <v>205</v>
      </c>
      <c r="G142" s="50" t="s">
        <v>24</v>
      </c>
      <c r="H142" s="29" t="s">
        <v>450</v>
      </c>
      <c r="I142" s="16"/>
      <c r="J142" s="32" t="s">
        <v>35</v>
      </c>
      <c r="K142" s="75" t="s">
        <v>35</v>
      </c>
      <c r="L142" s="34" t="str">
        <f>IF(ISNUMBER(I142), I142/150, "")</f>
        <v/>
      </c>
      <c r="M142" s="35" t="s">
        <v>112</v>
      </c>
    </row>
    <row r="143" spans="1:21" ht="12" customHeight="1" x14ac:dyDescent="0.2">
      <c r="A143" s="27">
        <v>277</v>
      </c>
      <c r="B143" s="82">
        <v>111</v>
      </c>
      <c r="C143" s="27">
        <v>55</v>
      </c>
      <c r="D143" s="29" t="s">
        <v>451</v>
      </c>
      <c r="E143" s="49" t="s">
        <v>268</v>
      </c>
      <c r="F143" s="31" t="s">
        <v>205</v>
      </c>
      <c r="G143" s="31" t="s">
        <v>24</v>
      </c>
      <c r="H143" s="29" t="s">
        <v>452</v>
      </c>
      <c r="I143" s="16"/>
      <c r="J143" s="32" t="s">
        <v>35</v>
      </c>
      <c r="K143" s="75" t="s">
        <v>35</v>
      </c>
      <c r="L143" s="34" t="str">
        <f>IF(ISNUMBER(I143), I143/150, "")</f>
        <v/>
      </c>
      <c r="M143" s="35" t="s">
        <v>112</v>
      </c>
      <c r="O143" s="38"/>
      <c r="P143" s="38"/>
      <c r="Q143" s="39"/>
    </row>
    <row r="144" spans="1:21" ht="12" customHeight="1" x14ac:dyDescent="0.2">
      <c r="A144" s="27">
        <v>290</v>
      </c>
      <c r="B144" s="82">
        <v>111</v>
      </c>
      <c r="C144" s="27">
        <v>55</v>
      </c>
      <c r="D144" s="29" t="s">
        <v>453</v>
      </c>
      <c r="E144" s="49" t="s">
        <v>268</v>
      </c>
      <c r="F144" s="31" t="s">
        <v>454</v>
      </c>
      <c r="G144" s="31" t="s">
        <v>24</v>
      </c>
      <c r="H144" s="29" t="s">
        <v>455</v>
      </c>
      <c r="I144" s="16">
        <f>60000</f>
        <v>60000</v>
      </c>
      <c r="J144" s="32" t="s">
        <v>35</v>
      </c>
      <c r="K144" s="75" t="s">
        <v>35</v>
      </c>
      <c r="L144" s="34">
        <f>IF(ISNUMBER(I144), I144/150, "")</f>
        <v>400</v>
      </c>
      <c r="M144" s="35" t="s">
        <v>112</v>
      </c>
      <c r="O144" s="38"/>
      <c r="P144" s="38"/>
      <c r="Q144" s="39"/>
    </row>
    <row r="145" spans="1:22" ht="12" customHeight="1" x14ac:dyDescent="0.2">
      <c r="A145" s="27">
        <v>315</v>
      </c>
      <c r="B145" s="82">
        <v>111</v>
      </c>
      <c r="C145" s="27">
        <v>55</v>
      </c>
      <c r="D145" s="29" t="s">
        <v>456</v>
      </c>
      <c r="E145" s="49" t="s">
        <v>457</v>
      </c>
      <c r="F145" s="31" t="s">
        <v>341</v>
      </c>
      <c r="G145" s="46" t="s">
        <v>33</v>
      </c>
      <c r="H145" s="29" t="s">
        <v>458</v>
      </c>
      <c r="I145" s="16">
        <f>25000</f>
        <v>25000</v>
      </c>
      <c r="J145" s="32" t="s">
        <v>35</v>
      </c>
      <c r="K145" s="75" t="s">
        <v>35</v>
      </c>
      <c r="L145" s="34">
        <f>IF(ISNUMBER(I145), I145/150, "")</f>
        <v>166.66666666666666</v>
      </c>
      <c r="M145" s="35" t="s">
        <v>112</v>
      </c>
      <c r="O145" s="38"/>
      <c r="P145" s="38"/>
      <c r="Q145" s="39"/>
    </row>
    <row r="146" spans="1:22" ht="12" customHeight="1" x14ac:dyDescent="0.2">
      <c r="A146" s="27">
        <v>383</v>
      </c>
      <c r="B146" s="82">
        <v>111</v>
      </c>
      <c r="C146" s="27">
        <v>55</v>
      </c>
      <c r="D146" s="29" t="s">
        <v>459</v>
      </c>
      <c r="E146" s="49" t="s">
        <v>460</v>
      </c>
      <c r="F146" s="104"/>
      <c r="G146" s="31" t="s">
        <v>33</v>
      </c>
      <c r="H146" s="29" t="s">
        <v>461</v>
      </c>
      <c r="I146" s="16"/>
      <c r="J146" s="32" t="s">
        <v>35</v>
      </c>
      <c r="K146" s="75" t="s">
        <v>35</v>
      </c>
      <c r="L146" s="34" t="str">
        <f>IF(ISNUMBER(I146), I146/150, "")</f>
        <v/>
      </c>
      <c r="M146" s="35" t="s">
        <v>112</v>
      </c>
      <c r="O146" s="38"/>
      <c r="P146" s="38"/>
      <c r="Q146" s="39"/>
    </row>
    <row r="147" spans="1:22" ht="12" customHeight="1" x14ac:dyDescent="0.2">
      <c r="A147" s="27">
        <v>393</v>
      </c>
      <c r="B147" s="82">
        <v>111</v>
      </c>
      <c r="C147" s="27">
        <v>55</v>
      </c>
      <c r="D147" s="29" t="s">
        <v>462</v>
      </c>
      <c r="E147" s="49" t="s">
        <v>268</v>
      </c>
      <c r="F147" s="31" t="s">
        <v>341</v>
      </c>
      <c r="G147" s="46" t="s">
        <v>33</v>
      </c>
      <c r="H147" s="29" t="s">
        <v>463</v>
      </c>
      <c r="I147" s="16">
        <f>20000</f>
        <v>20000</v>
      </c>
      <c r="J147" s="32" t="s">
        <v>35</v>
      </c>
      <c r="K147" s="75" t="s">
        <v>35</v>
      </c>
      <c r="L147" s="34">
        <f>IF(ISNUMBER(I147), I147/150, "")</f>
        <v>133.33333333333334</v>
      </c>
      <c r="M147" s="35" t="s">
        <v>112</v>
      </c>
      <c r="O147" s="38"/>
      <c r="P147" s="38"/>
      <c r="Q147" s="39"/>
      <c r="R147" s="40" t="s">
        <v>185</v>
      </c>
      <c r="S147" s="40" t="s">
        <v>185</v>
      </c>
      <c r="T147" s="40" t="s">
        <v>185</v>
      </c>
      <c r="U147" s="40" t="s">
        <v>185</v>
      </c>
    </row>
    <row r="148" spans="1:22" ht="12.75" customHeight="1" x14ac:dyDescent="0.2">
      <c r="A148" s="27">
        <v>420</v>
      </c>
      <c r="B148" s="82">
        <v>111</v>
      </c>
      <c r="C148" s="27">
        <v>55</v>
      </c>
      <c r="D148" s="29" t="s">
        <v>464</v>
      </c>
      <c r="E148" s="49" t="s">
        <v>268</v>
      </c>
      <c r="F148" s="31" t="s">
        <v>32</v>
      </c>
      <c r="G148" s="31" t="s">
        <v>33</v>
      </c>
      <c r="H148" s="29" t="s">
        <v>465</v>
      </c>
      <c r="I148" s="16"/>
      <c r="J148" s="32" t="s">
        <v>35</v>
      </c>
      <c r="K148" s="75" t="s">
        <v>35</v>
      </c>
      <c r="L148" s="34" t="str">
        <f>IF(ISNUMBER(I148), I148/150, "")</f>
        <v/>
      </c>
      <c r="M148" s="35" t="s">
        <v>112</v>
      </c>
      <c r="O148" s="38"/>
      <c r="P148" s="38"/>
      <c r="Q148" s="39"/>
    </row>
    <row r="149" spans="1:22" s="24" customFormat="1" ht="12" customHeight="1" x14ac:dyDescent="0.2">
      <c r="A149" s="27">
        <v>430</v>
      </c>
      <c r="B149" s="82">
        <v>111</v>
      </c>
      <c r="C149" s="27">
        <v>55</v>
      </c>
      <c r="D149" s="29" t="s">
        <v>466</v>
      </c>
      <c r="E149" s="49" t="s">
        <v>268</v>
      </c>
      <c r="F149" s="31" t="s">
        <v>205</v>
      </c>
      <c r="G149" s="31" t="s">
        <v>24</v>
      </c>
      <c r="H149" s="29" t="s">
        <v>467</v>
      </c>
      <c r="I149" s="16"/>
      <c r="J149" s="32" t="s">
        <v>35</v>
      </c>
      <c r="K149" s="75" t="s">
        <v>35</v>
      </c>
      <c r="L149" s="34" t="str">
        <f>IF(ISNUMBER(I149), I149/150, "")</f>
        <v/>
      </c>
      <c r="M149" s="35" t="s">
        <v>112</v>
      </c>
      <c r="N149" s="42"/>
      <c r="O149" s="38"/>
      <c r="P149" s="38"/>
      <c r="Q149" s="39"/>
      <c r="R149" s="40"/>
      <c r="S149" s="40"/>
      <c r="T149" s="40"/>
      <c r="U149" s="40"/>
      <c r="V149" s="9"/>
    </row>
    <row r="150" spans="1:22" ht="12" customHeight="1" x14ac:dyDescent="0.2">
      <c r="A150" s="27">
        <v>486</v>
      </c>
      <c r="B150" s="82">
        <v>111</v>
      </c>
      <c r="C150" s="27">
        <v>55</v>
      </c>
      <c r="D150" s="29" t="s">
        <v>468</v>
      </c>
      <c r="E150" s="49" t="s">
        <v>469</v>
      </c>
      <c r="F150" s="31" t="s">
        <v>161</v>
      </c>
      <c r="G150" s="31" t="s">
        <v>24</v>
      </c>
      <c r="H150" s="29" t="s">
        <v>470</v>
      </c>
      <c r="I150" s="16"/>
      <c r="J150" s="32" t="s">
        <v>35</v>
      </c>
      <c r="K150" s="75" t="s">
        <v>35</v>
      </c>
      <c r="L150" s="34" t="str">
        <f>IF(ISNUMBER(I150), I150/150, "")</f>
        <v/>
      </c>
      <c r="M150" s="35" t="s">
        <v>112</v>
      </c>
      <c r="O150" s="38"/>
      <c r="P150" s="38"/>
      <c r="Q150" s="39"/>
    </row>
    <row r="151" spans="1:22" ht="12" customHeight="1" x14ac:dyDescent="0.2">
      <c r="A151" s="27">
        <v>487</v>
      </c>
      <c r="B151" s="82">
        <v>111</v>
      </c>
      <c r="C151" s="27">
        <v>55</v>
      </c>
      <c r="D151" s="29" t="s">
        <v>471</v>
      </c>
      <c r="E151" s="49" t="s">
        <v>469</v>
      </c>
      <c r="F151" s="31" t="s">
        <v>32</v>
      </c>
      <c r="G151" s="31" t="s">
        <v>24</v>
      </c>
      <c r="H151" s="29" t="s">
        <v>472</v>
      </c>
      <c r="I151" s="16"/>
      <c r="J151" s="32" t="s">
        <v>35</v>
      </c>
      <c r="K151" s="75" t="s">
        <v>35</v>
      </c>
      <c r="L151" s="34" t="str">
        <f>IF(ISNUMBER(I151), I151/150, "")</f>
        <v/>
      </c>
      <c r="M151" s="35" t="s">
        <v>112</v>
      </c>
      <c r="O151" s="38"/>
      <c r="P151" s="38"/>
      <c r="Q151" s="39"/>
    </row>
    <row r="152" spans="1:22" ht="12" customHeight="1" x14ac:dyDescent="0.2">
      <c r="A152" s="27">
        <v>565</v>
      </c>
      <c r="B152" s="82">
        <v>111</v>
      </c>
      <c r="C152" s="27">
        <v>55</v>
      </c>
      <c r="D152" s="29" t="s">
        <v>473</v>
      </c>
      <c r="E152" s="49" t="s">
        <v>268</v>
      </c>
      <c r="F152" s="31" t="s">
        <v>239</v>
      </c>
      <c r="G152" s="31" t="s">
        <v>24</v>
      </c>
      <c r="H152" s="29" t="s">
        <v>474</v>
      </c>
      <c r="I152" s="16"/>
      <c r="J152" s="32" t="s">
        <v>35</v>
      </c>
      <c r="K152" s="75" t="s">
        <v>35</v>
      </c>
      <c r="L152" s="34" t="str">
        <f>IF(ISNUMBER(I152), I152/150, "")</f>
        <v/>
      </c>
      <c r="M152" s="35" t="s">
        <v>112</v>
      </c>
      <c r="O152" s="38"/>
      <c r="P152" s="38"/>
      <c r="Q152" s="39"/>
    </row>
    <row r="153" spans="1:22" ht="12" customHeight="1" x14ac:dyDescent="0.2">
      <c r="A153" s="27">
        <v>568</v>
      </c>
      <c r="B153" s="82">
        <v>111</v>
      </c>
      <c r="C153" s="27">
        <v>55</v>
      </c>
      <c r="D153" s="29" t="s">
        <v>475</v>
      </c>
      <c r="E153" s="49" t="s">
        <v>268</v>
      </c>
      <c r="F153" s="31" t="s">
        <v>341</v>
      </c>
      <c r="G153" s="46" t="s">
        <v>33</v>
      </c>
      <c r="H153" s="29" t="s">
        <v>476</v>
      </c>
      <c r="I153" s="16">
        <f>25000</f>
        <v>25000</v>
      </c>
      <c r="J153" s="32" t="s">
        <v>35</v>
      </c>
      <c r="K153" s="75" t="s">
        <v>35</v>
      </c>
      <c r="L153" s="34">
        <f>IF(ISNUMBER(I153), I153/150, "")</f>
        <v>166.66666666666666</v>
      </c>
      <c r="M153" s="35" t="s">
        <v>112</v>
      </c>
      <c r="O153" s="38"/>
      <c r="P153" s="38"/>
      <c r="Q153" s="39"/>
    </row>
    <row r="154" spans="1:22" ht="12" customHeight="1" x14ac:dyDescent="0.2">
      <c r="A154" s="27">
        <v>572</v>
      </c>
      <c r="B154" s="82">
        <v>111</v>
      </c>
      <c r="C154" s="27">
        <v>55</v>
      </c>
      <c r="D154" s="29" t="s">
        <v>477</v>
      </c>
      <c r="E154" s="113" t="s">
        <v>478</v>
      </c>
      <c r="F154" s="31" t="s">
        <v>479</v>
      </c>
      <c r="G154" s="31" t="s">
        <v>24</v>
      </c>
      <c r="H154" s="29" t="s">
        <v>480</v>
      </c>
      <c r="I154" s="16"/>
      <c r="J154" s="32" t="s">
        <v>35</v>
      </c>
      <c r="K154" s="75" t="s">
        <v>35</v>
      </c>
      <c r="L154" s="34" t="str">
        <f>IF(ISNUMBER(I154), I154/150, "")</f>
        <v/>
      </c>
      <c r="M154" s="35" t="s">
        <v>112</v>
      </c>
      <c r="O154" s="38"/>
      <c r="P154" s="38"/>
      <c r="Q154" s="39"/>
    </row>
    <row r="155" spans="1:22" ht="12" customHeight="1" x14ac:dyDescent="0.2">
      <c r="A155" s="27">
        <v>588</v>
      </c>
      <c r="B155" s="82">
        <v>111</v>
      </c>
      <c r="C155" s="27">
        <v>55</v>
      </c>
      <c r="D155" s="29" t="s">
        <v>481</v>
      </c>
      <c r="E155" s="49" t="s">
        <v>268</v>
      </c>
      <c r="F155" s="31" t="s">
        <v>341</v>
      </c>
      <c r="G155" s="46" t="s">
        <v>33</v>
      </c>
      <c r="H155" s="29" t="s">
        <v>482</v>
      </c>
      <c r="I155" s="16">
        <f>15000</f>
        <v>15000</v>
      </c>
      <c r="J155" s="32" t="s">
        <v>35</v>
      </c>
      <c r="K155" s="75" t="s">
        <v>35</v>
      </c>
      <c r="L155" s="34">
        <f>IF(ISNUMBER(I155), I155/150, "")</f>
        <v>100</v>
      </c>
      <c r="M155" s="35" t="s">
        <v>112</v>
      </c>
      <c r="O155" s="38"/>
      <c r="P155" s="38"/>
      <c r="Q155" s="39"/>
    </row>
    <row r="156" spans="1:22" ht="12" customHeight="1" x14ac:dyDescent="0.2">
      <c r="A156" s="27">
        <v>599</v>
      </c>
      <c r="B156" s="82">
        <v>111</v>
      </c>
      <c r="C156" s="27">
        <v>55</v>
      </c>
      <c r="D156" s="29" t="s">
        <v>483</v>
      </c>
      <c r="E156" s="49" t="s">
        <v>268</v>
      </c>
      <c r="F156" s="31" t="s">
        <v>32</v>
      </c>
      <c r="G156" s="31" t="s">
        <v>251</v>
      </c>
      <c r="H156" s="29" t="s">
        <v>484</v>
      </c>
      <c r="I156" s="16"/>
      <c r="J156" s="32" t="s">
        <v>35</v>
      </c>
      <c r="K156" s="75" t="s">
        <v>35</v>
      </c>
      <c r="L156" s="34" t="str">
        <f>IF(ISNUMBER(I156), I156/150, "")</f>
        <v/>
      </c>
      <c r="M156" s="35" t="s">
        <v>112</v>
      </c>
      <c r="O156" s="38"/>
      <c r="P156" s="38"/>
      <c r="Q156" s="39"/>
    </row>
    <row r="157" spans="1:22" ht="12" customHeight="1" x14ac:dyDescent="0.2">
      <c r="A157" s="65">
        <v>711</v>
      </c>
      <c r="B157" s="82">
        <v>111</v>
      </c>
      <c r="C157" s="65">
        <v>55</v>
      </c>
      <c r="D157" s="29" t="s">
        <v>485</v>
      </c>
      <c r="E157" s="30" t="s">
        <v>268</v>
      </c>
      <c r="F157" s="50" t="s">
        <v>486</v>
      </c>
      <c r="G157" s="50" t="s">
        <v>181</v>
      </c>
      <c r="H157" s="29" t="s">
        <v>487</v>
      </c>
      <c r="J157" s="32" t="s">
        <v>35</v>
      </c>
      <c r="K157" s="75" t="s">
        <v>35</v>
      </c>
      <c r="L157" s="34" t="str">
        <f>IF(ISNUMBER(I157), I157/150, "")</f>
        <v/>
      </c>
      <c r="M157" s="35" t="s">
        <v>112</v>
      </c>
      <c r="P157" s="68" t="s">
        <v>488</v>
      </c>
      <c r="Q157" s="69">
        <v>46196</v>
      </c>
      <c r="R157" s="112"/>
      <c r="S157" s="112"/>
      <c r="T157" s="112"/>
      <c r="U157" s="112"/>
    </row>
    <row r="158" spans="1:22" ht="12" customHeight="1" x14ac:dyDescent="0.2">
      <c r="A158" s="65">
        <v>712</v>
      </c>
      <c r="B158" s="82">
        <v>111</v>
      </c>
      <c r="C158" s="65">
        <v>55</v>
      </c>
      <c r="D158" s="29" t="s">
        <v>489</v>
      </c>
      <c r="E158" s="30" t="s">
        <v>268</v>
      </c>
      <c r="F158" s="50" t="s">
        <v>490</v>
      </c>
      <c r="G158" s="50" t="s">
        <v>24</v>
      </c>
      <c r="H158" s="29" t="s">
        <v>491</v>
      </c>
      <c r="J158" s="32" t="s">
        <v>35</v>
      </c>
      <c r="K158" s="75" t="s">
        <v>35</v>
      </c>
      <c r="L158" s="34" t="str">
        <f>IF(ISNUMBER(I158), I158/150, "")</f>
        <v/>
      </c>
      <c r="M158" s="35" t="s">
        <v>112</v>
      </c>
      <c r="P158" s="68" t="s">
        <v>88</v>
      </c>
      <c r="Q158" s="69">
        <v>46196</v>
      </c>
      <c r="R158" s="112"/>
      <c r="S158" s="112"/>
      <c r="T158" s="112"/>
      <c r="U158" s="112"/>
    </row>
    <row r="159" spans="1:22" ht="12" customHeight="1" x14ac:dyDescent="0.2">
      <c r="A159" s="65">
        <v>714</v>
      </c>
      <c r="B159" s="82">
        <v>111</v>
      </c>
      <c r="C159" s="65">
        <v>55</v>
      </c>
      <c r="D159" s="29" t="s">
        <v>492</v>
      </c>
      <c r="E159" s="30" t="s">
        <v>268</v>
      </c>
      <c r="F159" s="50" t="s">
        <v>32</v>
      </c>
      <c r="G159" s="50" t="s">
        <v>24</v>
      </c>
      <c r="H159" s="29" t="s">
        <v>493</v>
      </c>
      <c r="J159" s="32" t="s">
        <v>35</v>
      </c>
      <c r="K159" s="75" t="s">
        <v>35</v>
      </c>
      <c r="L159" s="34" t="str">
        <f>IF(ISNUMBER(I159), I159/150, "")</f>
        <v/>
      </c>
      <c r="M159" s="35" t="s">
        <v>112</v>
      </c>
      <c r="P159" s="68" t="s">
        <v>98</v>
      </c>
      <c r="Q159" s="69">
        <v>46203</v>
      </c>
      <c r="R159" s="112"/>
      <c r="S159" s="112"/>
      <c r="T159" s="112"/>
      <c r="U159" s="112"/>
    </row>
    <row r="160" spans="1:22" ht="12" customHeight="1" x14ac:dyDescent="0.2">
      <c r="A160" s="65">
        <v>736</v>
      </c>
      <c r="B160" s="65">
        <v>111</v>
      </c>
      <c r="C160" s="65">
        <v>55</v>
      </c>
      <c r="D160" s="29" t="s">
        <v>494</v>
      </c>
      <c r="E160" s="30" t="s">
        <v>268</v>
      </c>
      <c r="F160" s="50" t="s">
        <v>32</v>
      </c>
      <c r="G160" s="50" t="s">
        <v>24</v>
      </c>
      <c r="H160" s="29" t="s">
        <v>495</v>
      </c>
      <c r="J160" s="32" t="s">
        <v>35</v>
      </c>
      <c r="K160" s="108" t="s">
        <v>496</v>
      </c>
      <c r="M160" s="35" t="s">
        <v>112</v>
      </c>
      <c r="O160" s="68" t="s">
        <v>44</v>
      </c>
      <c r="P160" s="68" t="s">
        <v>93</v>
      </c>
      <c r="Q160" s="69">
        <v>46216</v>
      </c>
    </row>
    <row r="161" spans="1:17" ht="12" customHeight="1" x14ac:dyDescent="0.2">
      <c r="A161" s="65">
        <v>737</v>
      </c>
      <c r="B161" s="65">
        <v>111</v>
      </c>
      <c r="C161" s="65">
        <v>55</v>
      </c>
      <c r="D161" s="29" t="s">
        <v>497</v>
      </c>
      <c r="E161" s="30" t="s">
        <v>268</v>
      </c>
      <c r="F161" s="50" t="s">
        <v>32</v>
      </c>
      <c r="G161" s="50" t="s">
        <v>24</v>
      </c>
      <c r="H161" s="29" t="s">
        <v>498</v>
      </c>
      <c r="J161" s="32" t="s">
        <v>35</v>
      </c>
      <c r="K161" s="108" t="s">
        <v>499</v>
      </c>
      <c r="M161" s="35" t="s">
        <v>112</v>
      </c>
      <c r="O161" s="68" t="s">
        <v>44</v>
      </c>
      <c r="P161" s="68" t="s">
        <v>93</v>
      </c>
      <c r="Q161" s="69">
        <v>46216</v>
      </c>
    </row>
    <row r="162" spans="1:17" ht="12" customHeight="1" x14ac:dyDescent="0.2">
      <c r="A162" s="65">
        <v>738</v>
      </c>
      <c r="B162" s="65">
        <v>111</v>
      </c>
      <c r="C162" s="65">
        <v>55</v>
      </c>
      <c r="D162" s="29" t="s">
        <v>500</v>
      </c>
      <c r="E162" s="30" t="s">
        <v>268</v>
      </c>
      <c r="F162" s="50" t="s">
        <v>136</v>
      </c>
      <c r="H162" s="29" t="s">
        <v>501</v>
      </c>
      <c r="J162" s="32" t="s">
        <v>35</v>
      </c>
      <c r="K162" s="108" t="s">
        <v>502</v>
      </c>
      <c r="M162" s="35" t="s">
        <v>112</v>
      </c>
      <c r="P162" s="68" t="s">
        <v>503</v>
      </c>
      <c r="Q162" s="69">
        <v>46217</v>
      </c>
    </row>
    <row r="163" spans="1:17" ht="12" customHeight="1" x14ac:dyDescent="0.2">
      <c r="A163" s="80">
        <v>9</v>
      </c>
      <c r="B163" s="82">
        <v>111</v>
      </c>
      <c r="C163" s="80"/>
      <c r="D163" s="13" t="s">
        <v>504</v>
      </c>
      <c r="E163" s="136"/>
      <c r="F163" s="15" t="s">
        <v>505</v>
      </c>
      <c r="G163" s="15" t="s">
        <v>33</v>
      </c>
      <c r="H163" s="13" t="s">
        <v>506</v>
      </c>
      <c r="I163" s="60"/>
      <c r="J163" s="137" t="s">
        <v>35</v>
      </c>
      <c r="K163" s="75" t="s">
        <v>35</v>
      </c>
      <c r="L163" s="34" t="str">
        <f>IF(ISNUMBER(I163), I163/150, "")</f>
        <v/>
      </c>
      <c r="M163" s="138" t="s">
        <v>112</v>
      </c>
      <c r="N163" s="139"/>
      <c r="O163" s="140"/>
      <c r="P163" s="140"/>
      <c r="Q163" s="141"/>
    </row>
    <row r="164" spans="1:17" ht="12" customHeight="1" x14ac:dyDescent="0.2">
      <c r="A164" s="27">
        <v>11</v>
      </c>
      <c r="B164" s="82">
        <v>111</v>
      </c>
      <c r="C164" s="27"/>
      <c r="D164" s="29" t="s">
        <v>507</v>
      </c>
      <c r="E164" s="49"/>
      <c r="F164" s="31" t="s">
        <v>32</v>
      </c>
      <c r="G164" s="31" t="s">
        <v>33</v>
      </c>
      <c r="H164" s="29" t="s">
        <v>508</v>
      </c>
      <c r="I164" s="60"/>
      <c r="J164" s="32" t="s">
        <v>35</v>
      </c>
      <c r="K164" s="75" t="s">
        <v>35</v>
      </c>
      <c r="L164" s="34" t="str">
        <f>IF(ISNUMBER(I164), I164/150, "")</f>
        <v/>
      </c>
      <c r="M164" s="35" t="s">
        <v>112</v>
      </c>
      <c r="O164" s="38"/>
      <c r="P164" s="38"/>
      <c r="Q164" s="39"/>
    </row>
    <row r="165" spans="1:17" ht="12" customHeight="1" x14ac:dyDescent="0.2">
      <c r="A165" s="27">
        <v>17</v>
      </c>
      <c r="B165" s="82">
        <v>111</v>
      </c>
      <c r="C165" s="27"/>
      <c r="D165" s="29" t="s">
        <v>509</v>
      </c>
      <c r="E165" s="49"/>
      <c r="F165" s="31" t="s">
        <v>32</v>
      </c>
      <c r="G165" s="31" t="s">
        <v>33</v>
      </c>
      <c r="H165" s="29" t="s">
        <v>286</v>
      </c>
      <c r="I165" s="16"/>
      <c r="J165" s="32" t="s">
        <v>35</v>
      </c>
      <c r="K165" s="75" t="s">
        <v>35</v>
      </c>
      <c r="L165" s="34" t="str">
        <f>IF(ISNUMBER(I165), I165/150, "")</f>
        <v/>
      </c>
      <c r="M165" s="35" t="s">
        <v>112</v>
      </c>
      <c r="O165" s="38"/>
      <c r="P165" s="38"/>
      <c r="Q165" s="39"/>
    </row>
    <row r="166" spans="1:17" ht="12" customHeight="1" x14ac:dyDescent="0.2">
      <c r="A166" s="27">
        <v>18</v>
      </c>
      <c r="B166" s="82">
        <v>111</v>
      </c>
      <c r="C166" s="27"/>
      <c r="D166" s="29" t="s">
        <v>510</v>
      </c>
      <c r="E166" s="49"/>
      <c r="F166" s="31" t="s">
        <v>421</v>
      </c>
      <c r="G166" s="31" t="s">
        <v>33</v>
      </c>
      <c r="H166" s="29" t="s">
        <v>511</v>
      </c>
      <c r="I166" s="16">
        <f>15000</f>
        <v>15000</v>
      </c>
      <c r="J166" s="32" t="s">
        <v>35</v>
      </c>
      <c r="K166" s="75" t="s">
        <v>35</v>
      </c>
      <c r="L166" s="34">
        <f>IF(ISNUMBER(I166), I166/150, "")</f>
        <v>100</v>
      </c>
      <c r="M166" s="35" t="s">
        <v>112</v>
      </c>
      <c r="O166" s="38"/>
      <c r="P166" s="38"/>
      <c r="Q166" s="39"/>
    </row>
    <row r="167" spans="1:17" ht="12" customHeight="1" x14ac:dyDescent="0.2">
      <c r="A167" s="65">
        <v>36</v>
      </c>
      <c r="B167" s="82">
        <v>111</v>
      </c>
      <c r="D167" s="29" t="s">
        <v>512</v>
      </c>
      <c r="F167" s="31" t="s">
        <v>341</v>
      </c>
      <c r="G167" s="50" t="s">
        <v>33</v>
      </c>
      <c r="H167" s="29" t="s">
        <v>513</v>
      </c>
      <c r="I167" s="16">
        <f>15000</f>
        <v>15000</v>
      </c>
      <c r="J167" s="32" t="s">
        <v>35</v>
      </c>
      <c r="K167" s="75" t="s">
        <v>35</v>
      </c>
      <c r="L167" s="34">
        <f>IF(ISNUMBER(I167), I167/150, "")</f>
        <v>100</v>
      </c>
      <c r="M167" s="35" t="s">
        <v>112</v>
      </c>
    </row>
    <row r="168" spans="1:17" ht="12" customHeight="1" x14ac:dyDescent="0.2">
      <c r="A168" s="65">
        <v>42</v>
      </c>
      <c r="B168" s="82">
        <v>111</v>
      </c>
      <c r="D168" s="29" t="s">
        <v>514</v>
      </c>
      <c r="F168" s="31" t="s">
        <v>515</v>
      </c>
      <c r="G168" s="50" t="s">
        <v>33</v>
      </c>
      <c r="I168" s="16"/>
      <c r="J168" s="32" t="s">
        <v>35</v>
      </c>
      <c r="K168" s="75" t="s">
        <v>35</v>
      </c>
      <c r="L168" s="34" t="str">
        <f>IF(ISNUMBER(I168), I168/150, "")</f>
        <v/>
      </c>
      <c r="M168" s="35" t="s">
        <v>112</v>
      </c>
    </row>
    <row r="169" spans="1:17" ht="12" customHeight="1" x14ac:dyDescent="0.2">
      <c r="A169" s="65">
        <v>46</v>
      </c>
      <c r="B169" s="82">
        <v>111</v>
      </c>
      <c r="D169" s="29" t="s">
        <v>516</v>
      </c>
      <c r="F169" s="31" t="s">
        <v>32</v>
      </c>
      <c r="G169" s="50" t="s">
        <v>33</v>
      </c>
      <c r="H169" s="29" t="s">
        <v>517</v>
      </c>
      <c r="I169" s="16"/>
      <c r="J169" s="32" t="s">
        <v>35</v>
      </c>
      <c r="K169" s="75" t="s">
        <v>35</v>
      </c>
      <c r="L169" s="34" t="str">
        <f>IF(ISNUMBER(I169), I169/150, "")</f>
        <v/>
      </c>
      <c r="M169" s="35" t="s">
        <v>112</v>
      </c>
    </row>
    <row r="170" spans="1:17" ht="12" customHeight="1" x14ac:dyDescent="0.2">
      <c r="A170" s="65">
        <v>47</v>
      </c>
      <c r="B170" s="82">
        <v>111</v>
      </c>
      <c r="D170" s="29" t="s">
        <v>518</v>
      </c>
      <c r="F170" s="31" t="s">
        <v>519</v>
      </c>
      <c r="G170" s="50" t="s">
        <v>33</v>
      </c>
      <c r="H170" s="29" t="s">
        <v>520</v>
      </c>
      <c r="I170" s="16"/>
      <c r="J170" s="32" t="s">
        <v>35</v>
      </c>
      <c r="K170" s="75" t="s">
        <v>35</v>
      </c>
      <c r="L170" s="34" t="str">
        <f>IF(ISNUMBER(I170), I170/150, "")</f>
        <v/>
      </c>
      <c r="M170" s="35" t="s">
        <v>112</v>
      </c>
    </row>
    <row r="171" spans="1:17" ht="12" customHeight="1" x14ac:dyDescent="0.2">
      <c r="A171" s="65">
        <v>48</v>
      </c>
      <c r="B171" s="82">
        <v>111</v>
      </c>
      <c r="D171" s="29" t="s">
        <v>521</v>
      </c>
      <c r="F171" s="31" t="s">
        <v>239</v>
      </c>
      <c r="G171" s="50" t="s">
        <v>33</v>
      </c>
      <c r="H171" s="29" t="s">
        <v>522</v>
      </c>
      <c r="I171" s="16"/>
      <c r="J171" s="32" t="s">
        <v>35</v>
      </c>
      <c r="K171" s="75" t="s">
        <v>35</v>
      </c>
      <c r="L171" s="34" t="str">
        <f>IF(ISNUMBER(I171), I171/150, "")</f>
        <v/>
      </c>
      <c r="M171" s="35" t="s">
        <v>112</v>
      </c>
    </row>
    <row r="172" spans="1:17" ht="12" customHeight="1" x14ac:dyDescent="0.2">
      <c r="A172" s="65">
        <v>60</v>
      </c>
      <c r="B172" s="82">
        <v>111</v>
      </c>
      <c r="D172" s="29" t="s">
        <v>523</v>
      </c>
      <c r="F172" s="104"/>
      <c r="G172" s="50" t="s">
        <v>24</v>
      </c>
      <c r="H172" s="29" t="s">
        <v>524</v>
      </c>
      <c r="I172" s="16"/>
      <c r="J172" s="32" t="s">
        <v>35</v>
      </c>
      <c r="K172" s="75" t="s">
        <v>35</v>
      </c>
      <c r="L172" s="34" t="str">
        <f>IF(ISNUMBER(I172), I172/150, "")</f>
        <v/>
      </c>
      <c r="M172" s="35" t="s">
        <v>112</v>
      </c>
    </row>
    <row r="173" spans="1:17" ht="12" customHeight="1" x14ac:dyDescent="0.2">
      <c r="A173" s="65">
        <v>68</v>
      </c>
      <c r="B173" s="82">
        <v>111</v>
      </c>
      <c r="D173" s="29" t="s">
        <v>525</v>
      </c>
      <c r="F173" s="31" t="s">
        <v>95</v>
      </c>
      <c r="G173" s="50" t="s">
        <v>33</v>
      </c>
      <c r="I173" s="16"/>
      <c r="J173" s="32" t="s">
        <v>35</v>
      </c>
      <c r="K173" s="75" t="s">
        <v>35</v>
      </c>
      <c r="L173" s="34" t="str">
        <f>IF(ISNUMBER(I173), I173/150, "")</f>
        <v/>
      </c>
      <c r="M173" s="35" t="s">
        <v>112</v>
      </c>
    </row>
    <row r="174" spans="1:17" ht="12" customHeight="1" x14ac:dyDescent="0.2">
      <c r="A174" s="65">
        <v>69</v>
      </c>
      <c r="B174" s="82">
        <v>111</v>
      </c>
      <c r="D174" s="29" t="s">
        <v>526</v>
      </c>
      <c r="F174" s="31" t="s">
        <v>515</v>
      </c>
      <c r="G174" s="50" t="s">
        <v>33</v>
      </c>
      <c r="I174" s="16"/>
      <c r="J174" s="32" t="s">
        <v>35</v>
      </c>
      <c r="K174" s="75" t="s">
        <v>35</v>
      </c>
      <c r="L174" s="34" t="str">
        <f>IF(ISNUMBER(I174), I174/150, "")</f>
        <v/>
      </c>
      <c r="M174" s="35" t="s">
        <v>112</v>
      </c>
    </row>
    <row r="175" spans="1:17" ht="12" customHeight="1" x14ac:dyDescent="0.2">
      <c r="A175" s="65">
        <v>70</v>
      </c>
      <c r="B175" s="82">
        <v>111</v>
      </c>
      <c r="D175" s="29" t="s">
        <v>527</v>
      </c>
      <c r="F175" s="31" t="s">
        <v>515</v>
      </c>
      <c r="G175" s="50" t="s">
        <v>81</v>
      </c>
      <c r="H175" s="29" t="s">
        <v>528</v>
      </c>
      <c r="I175" s="16"/>
      <c r="J175" s="32" t="s">
        <v>35</v>
      </c>
      <c r="K175" s="75" t="s">
        <v>35</v>
      </c>
      <c r="L175" s="34" t="str">
        <f>IF(ISNUMBER(I175), I175/150, "")</f>
        <v/>
      </c>
      <c r="M175" s="35" t="s">
        <v>112</v>
      </c>
    </row>
    <row r="176" spans="1:17" ht="12" customHeight="1" x14ac:dyDescent="0.2">
      <c r="A176" s="65">
        <v>73</v>
      </c>
      <c r="B176" s="82">
        <v>111</v>
      </c>
      <c r="D176" s="29" t="s">
        <v>529</v>
      </c>
      <c r="E176" s="30" t="s">
        <v>80</v>
      </c>
      <c r="F176" s="31" t="s">
        <v>515</v>
      </c>
      <c r="G176" s="50" t="s">
        <v>33</v>
      </c>
      <c r="I176" s="16"/>
      <c r="J176" s="32" t="s">
        <v>35</v>
      </c>
      <c r="K176" s="75" t="s">
        <v>35</v>
      </c>
      <c r="L176" s="34" t="str">
        <f>IF(ISNUMBER(I176), I176/150, "")</f>
        <v/>
      </c>
      <c r="M176" s="35" t="s">
        <v>112</v>
      </c>
    </row>
    <row r="177" spans="1:22" ht="12" customHeight="1" x14ac:dyDescent="0.2">
      <c r="A177" s="65">
        <v>74</v>
      </c>
      <c r="B177" s="82">
        <v>111</v>
      </c>
      <c r="D177" s="29" t="s">
        <v>530</v>
      </c>
      <c r="F177" s="104"/>
      <c r="G177" s="50" t="s">
        <v>33</v>
      </c>
      <c r="H177" s="29" t="s">
        <v>524</v>
      </c>
      <c r="I177" s="16"/>
      <c r="J177" s="32" t="s">
        <v>35</v>
      </c>
      <c r="K177" s="75" t="s">
        <v>35</v>
      </c>
      <c r="L177" s="34" t="str">
        <f>IF(ISNUMBER(I177), I177/150, "")</f>
        <v/>
      </c>
      <c r="M177" s="35" t="s">
        <v>112</v>
      </c>
    </row>
    <row r="178" spans="1:22" ht="12" customHeight="1" x14ac:dyDescent="0.2">
      <c r="A178" s="65">
        <v>83</v>
      </c>
      <c r="B178" s="82">
        <v>111</v>
      </c>
      <c r="D178" s="29" t="s">
        <v>531</v>
      </c>
      <c r="F178" s="31" t="s">
        <v>532</v>
      </c>
      <c r="G178" s="50" t="s">
        <v>33</v>
      </c>
      <c r="I178" s="16"/>
      <c r="J178" s="32" t="s">
        <v>35</v>
      </c>
      <c r="K178" s="75" t="s">
        <v>35</v>
      </c>
      <c r="L178" s="34" t="str">
        <f>IF(ISNUMBER(I178), I178/150, "")</f>
        <v/>
      </c>
      <c r="M178" s="35" t="s">
        <v>112</v>
      </c>
    </row>
    <row r="179" spans="1:22" ht="12" customHeight="1" x14ac:dyDescent="0.2">
      <c r="A179" s="65">
        <v>113</v>
      </c>
      <c r="B179" s="82">
        <v>111</v>
      </c>
      <c r="D179" s="29" t="s">
        <v>533</v>
      </c>
      <c r="F179" s="31" t="s">
        <v>534</v>
      </c>
      <c r="G179" s="50" t="s">
        <v>33</v>
      </c>
      <c r="I179" s="16"/>
      <c r="J179" s="32" t="s">
        <v>35</v>
      </c>
      <c r="K179" s="75" t="s">
        <v>35</v>
      </c>
      <c r="L179" s="34" t="str">
        <f>IF(ISNUMBER(I179), I179/150, "")</f>
        <v/>
      </c>
      <c r="M179" s="35" t="s">
        <v>112</v>
      </c>
    </row>
    <row r="180" spans="1:22" ht="12" customHeight="1" x14ac:dyDescent="0.2">
      <c r="A180" s="65">
        <v>130</v>
      </c>
      <c r="B180" s="82">
        <v>111</v>
      </c>
      <c r="D180" s="29" t="s">
        <v>535</v>
      </c>
      <c r="F180" s="31" t="s">
        <v>32</v>
      </c>
      <c r="G180" s="50" t="s">
        <v>33</v>
      </c>
      <c r="H180" s="29" t="s">
        <v>536</v>
      </c>
      <c r="I180" s="16"/>
      <c r="J180" s="32" t="s">
        <v>35</v>
      </c>
      <c r="K180" s="75" t="s">
        <v>35</v>
      </c>
      <c r="L180" s="34" t="str">
        <f>IF(ISNUMBER(I180), I180/150, "")</f>
        <v/>
      </c>
      <c r="M180" s="35" t="s">
        <v>112</v>
      </c>
    </row>
    <row r="181" spans="1:22" ht="12" customHeight="1" x14ac:dyDescent="0.2">
      <c r="A181" s="65">
        <v>133</v>
      </c>
      <c r="B181" s="82">
        <v>111</v>
      </c>
      <c r="D181" s="29" t="s">
        <v>537</v>
      </c>
      <c r="F181" s="31" t="s">
        <v>421</v>
      </c>
      <c r="G181" s="50" t="s">
        <v>33</v>
      </c>
      <c r="H181" s="29" t="s">
        <v>538</v>
      </c>
      <c r="I181" s="16">
        <f>15000</f>
        <v>15000</v>
      </c>
      <c r="J181" s="32" t="s">
        <v>35</v>
      </c>
      <c r="K181" s="75" t="s">
        <v>35</v>
      </c>
      <c r="L181" s="34">
        <f>IF(ISNUMBER(I181), I181/150, "")</f>
        <v>100</v>
      </c>
      <c r="M181" s="35" t="s">
        <v>112</v>
      </c>
      <c r="V181" s="9">
        <v>3</v>
      </c>
    </row>
    <row r="182" spans="1:22" ht="12" customHeight="1" x14ac:dyDescent="0.2">
      <c r="A182" s="65">
        <v>142</v>
      </c>
      <c r="B182" s="82">
        <v>111</v>
      </c>
      <c r="D182" s="29" t="s">
        <v>539</v>
      </c>
      <c r="F182" s="31" t="s">
        <v>32</v>
      </c>
      <c r="G182" s="50" t="s">
        <v>33</v>
      </c>
      <c r="H182" s="29" t="s">
        <v>540</v>
      </c>
      <c r="I182" s="16"/>
      <c r="J182" s="32" t="s">
        <v>35</v>
      </c>
      <c r="K182" s="75" t="s">
        <v>35</v>
      </c>
      <c r="L182" s="34" t="str">
        <f>IF(ISNUMBER(I182), I182/150, "")</f>
        <v/>
      </c>
      <c r="M182" s="35" t="s">
        <v>112</v>
      </c>
    </row>
    <row r="183" spans="1:22" ht="12" customHeight="1" x14ac:dyDescent="0.2">
      <c r="A183" s="65">
        <v>144</v>
      </c>
      <c r="B183" s="82">
        <v>111</v>
      </c>
      <c r="D183" s="29" t="s">
        <v>541</v>
      </c>
      <c r="F183" s="104"/>
      <c r="G183" s="50" t="s">
        <v>81</v>
      </c>
      <c r="I183" s="16"/>
      <c r="J183" s="32" t="s">
        <v>35</v>
      </c>
      <c r="K183" s="75" t="s">
        <v>35</v>
      </c>
      <c r="L183" s="34" t="str">
        <f>IF(ISNUMBER(I183), I183/150, "")</f>
        <v/>
      </c>
      <c r="M183" s="35" t="s">
        <v>112</v>
      </c>
    </row>
    <row r="184" spans="1:22" ht="12" customHeight="1" x14ac:dyDescent="0.2">
      <c r="A184" s="65">
        <v>146</v>
      </c>
      <c r="B184" s="82">
        <v>111</v>
      </c>
      <c r="D184" s="29" t="s">
        <v>542</v>
      </c>
      <c r="E184" s="30" t="s">
        <v>543</v>
      </c>
      <c r="F184" s="31" t="s">
        <v>293</v>
      </c>
      <c r="G184" s="50" t="s">
        <v>33</v>
      </c>
      <c r="H184" s="29" t="s">
        <v>286</v>
      </c>
      <c r="I184" s="16"/>
      <c r="J184" s="32" t="s">
        <v>35</v>
      </c>
      <c r="K184" s="75" t="s">
        <v>35</v>
      </c>
      <c r="L184" s="34" t="str">
        <f>IF(ISNUMBER(I184), I184/150, "")</f>
        <v/>
      </c>
      <c r="M184" s="35" t="s">
        <v>112</v>
      </c>
    </row>
    <row r="185" spans="1:22" ht="12" customHeight="1" x14ac:dyDescent="0.2">
      <c r="A185" s="65">
        <v>161</v>
      </c>
      <c r="B185" s="82">
        <v>111</v>
      </c>
      <c r="D185" s="29" t="s">
        <v>544</v>
      </c>
      <c r="F185" s="31" t="s">
        <v>32</v>
      </c>
      <c r="G185" s="50" t="s">
        <v>33</v>
      </c>
      <c r="I185" s="16"/>
      <c r="J185" s="32" t="s">
        <v>35</v>
      </c>
      <c r="K185" s="75" t="s">
        <v>35</v>
      </c>
      <c r="L185" s="34" t="str">
        <f>IF(ISNUMBER(I185), I185/150, "")</f>
        <v/>
      </c>
      <c r="M185" s="35" t="s">
        <v>112</v>
      </c>
    </row>
    <row r="186" spans="1:22" ht="12" customHeight="1" x14ac:dyDescent="0.2">
      <c r="A186" s="65">
        <v>164</v>
      </c>
      <c r="B186" s="82">
        <v>111</v>
      </c>
      <c r="D186" s="29" t="s">
        <v>545</v>
      </c>
      <c r="F186" s="31" t="s">
        <v>161</v>
      </c>
      <c r="G186" s="50" t="s">
        <v>33</v>
      </c>
      <c r="H186" s="29" t="s">
        <v>546</v>
      </c>
      <c r="I186" s="16"/>
      <c r="J186" s="32" t="s">
        <v>35</v>
      </c>
      <c r="K186" s="75" t="s">
        <v>35</v>
      </c>
      <c r="L186" s="34" t="str">
        <f>IF(ISNUMBER(I186), I186/150, "")</f>
        <v/>
      </c>
      <c r="M186" s="35" t="s">
        <v>112</v>
      </c>
    </row>
    <row r="187" spans="1:22" s="142" customFormat="1" ht="12" customHeight="1" x14ac:dyDescent="0.2">
      <c r="A187" s="65">
        <v>165</v>
      </c>
      <c r="B187" s="82">
        <v>111</v>
      </c>
      <c r="C187" s="65"/>
      <c r="D187" s="29" t="s">
        <v>547</v>
      </c>
      <c r="E187" s="30"/>
      <c r="F187" s="31" t="s">
        <v>548</v>
      </c>
      <c r="G187" s="50" t="s">
        <v>33</v>
      </c>
      <c r="H187" s="29" t="s">
        <v>549</v>
      </c>
      <c r="I187" s="16">
        <f>50000</f>
        <v>50000</v>
      </c>
      <c r="J187" s="32" t="s">
        <v>35</v>
      </c>
      <c r="K187" s="75" t="s">
        <v>35</v>
      </c>
      <c r="L187" s="34">
        <f>IF(ISNUMBER(I187), I187/150, "")</f>
        <v>333.33333333333331</v>
      </c>
      <c r="M187" s="35" t="s">
        <v>112</v>
      </c>
      <c r="N187" s="42"/>
      <c r="O187" s="68"/>
      <c r="P187" s="68"/>
      <c r="Q187" s="69"/>
      <c r="R187" s="40"/>
      <c r="S187" s="40"/>
      <c r="T187" s="40"/>
      <c r="U187" s="40"/>
      <c r="V187" s="9"/>
    </row>
    <row r="188" spans="1:22" ht="12" customHeight="1" x14ac:dyDescent="0.2">
      <c r="A188" s="65">
        <v>168</v>
      </c>
      <c r="B188" s="82">
        <v>111</v>
      </c>
      <c r="D188" s="29" t="s">
        <v>550</v>
      </c>
      <c r="F188" s="104"/>
      <c r="G188" s="50" t="s">
        <v>33</v>
      </c>
      <c r="I188" s="16"/>
      <c r="J188" s="32" t="s">
        <v>35</v>
      </c>
      <c r="K188" s="75" t="s">
        <v>35</v>
      </c>
      <c r="L188" s="34" t="str">
        <f>IF(ISNUMBER(I188), I188/150, "")</f>
        <v/>
      </c>
      <c r="M188" s="35" t="s">
        <v>112</v>
      </c>
    </row>
    <row r="189" spans="1:22" ht="12" customHeight="1" x14ac:dyDescent="0.2">
      <c r="A189" s="65">
        <v>170</v>
      </c>
      <c r="B189" s="82">
        <v>111</v>
      </c>
      <c r="D189" s="29" t="s">
        <v>551</v>
      </c>
      <c r="F189" s="104"/>
      <c r="G189" s="31" t="s">
        <v>251</v>
      </c>
      <c r="I189" s="16"/>
      <c r="J189" s="32" t="s">
        <v>35</v>
      </c>
      <c r="K189" s="75" t="s">
        <v>35</v>
      </c>
      <c r="L189" s="34" t="str">
        <f>IF(ISNUMBER(I189), I189/150, "")</f>
        <v/>
      </c>
      <c r="M189" s="35" t="s">
        <v>112</v>
      </c>
    </row>
    <row r="190" spans="1:22" ht="12" customHeight="1" x14ac:dyDescent="0.2">
      <c r="A190" s="65">
        <v>174</v>
      </c>
      <c r="B190" s="82">
        <v>111</v>
      </c>
      <c r="D190" s="29" t="s">
        <v>552</v>
      </c>
      <c r="F190" s="31" t="s">
        <v>553</v>
      </c>
      <c r="G190" s="50" t="s">
        <v>33</v>
      </c>
      <c r="I190" s="16"/>
      <c r="J190" s="32" t="s">
        <v>35</v>
      </c>
      <c r="K190" s="75" t="s">
        <v>35</v>
      </c>
      <c r="L190" s="34" t="str">
        <f>IF(ISNUMBER(I190), I190/150, "")</f>
        <v/>
      </c>
      <c r="M190" s="35" t="s">
        <v>112</v>
      </c>
    </row>
    <row r="191" spans="1:22" ht="12" customHeight="1" x14ac:dyDescent="0.2">
      <c r="A191" s="65">
        <v>187</v>
      </c>
      <c r="B191" s="82">
        <v>111</v>
      </c>
      <c r="D191" s="29" t="s">
        <v>554</v>
      </c>
      <c r="E191" s="113" t="s">
        <v>66</v>
      </c>
      <c r="F191" s="31" t="s">
        <v>66</v>
      </c>
      <c r="G191" s="50" t="s">
        <v>81</v>
      </c>
      <c r="H191" s="143" t="s">
        <v>555</v>
      </c>
      <c r="I191" s="16"/>
      <c r="J191" s="32" t="s">
        <v>35</v>
      </c>
      <c r="K191" s="75" t="s">
        <v>35</v>
      </c>
      <c r="L191" s="34" t="str">
        <f>IF(ISNUMBER(I191), I191/150, "")</f>
        <v/>
      </c>
      <c r="M191" s="35" t="s">
        <v>112</v>
      </c>
      <c r="R191" s="40" t="s">
        <v>185</v>
      </c>
      <c r="S191" s="40" t="s">
        <v>185</v>
      </c>
      <c r="T191" s="40" t="s">
        <v>185</v>
      </c>
    </row>
    <row r="192" spans="1:22" ht="12" customHeight="1" x14ac:dyDescent="0.2">
      <c r="A192" s="65">
        <v>189</v>
      </c>
      <c r="B192" s="82">
        <v>111</v>
      </c>
      <c r="D192" s="29" t="s">
        <v>556</v>
      </c>
      <c r="E192" s="113" t="s">
        <v>66</v>
      </c>
      <c r="F192" s="31" t="s">
        <v>557</v>
      </c>
      <c r="G192" s="50" t="s">
        <v>81</v>
      </c>
      <c r="I192" s="16"/>
      <c r="J192" s="32" t="s">
        <v>35</v>
      </c>
      <c r="K192" s="75" t="s">
        <v>35</v>
      </c>
      <c r="L192" s="34" t="str">
        <f>IF(ISNUMBER(I192), I192/150, "")</f>
        <v/>
      </c>
      <c r="M192" s="35" t="s">
        <v>112</v>
      </c>
      <c r="V192" s="9">
        <v>2</v>
      </c>
    </row>
    <row r="193" spans="1:21" ht="12" customHeight="1" x14ac:dyDescent="0.2">
      <c r="A193" s="65">
        <v>191</v>
      </c>
      <c r="B193" s="82">
        <v>111</v>
      </c>
      <c r="D193" s="29" t="s">
        <v>558</v>
      </c>
      <c r="E193" s="113" t="s">
        <v>66</v>
      </c>
      <c r="F193" s="31" t="s">
        <v>559</v>
      </c>
      <c r="G193" s="50" t="s">
        <v>81</v>
      </c>
      <c r="H193" s="29" t="s">
        <v>560</v>
      </c>
      <c r="I193" s="16"/>
      <c r="J193" s="32" t="s">
        <v>35</v>
      </c>
      <c r="K193" s="75" t="s">
        <v>35</v>
      </c>
      <c r="L193" s="34" t="str">
        <f>IF(ISNUMBER(I193), I193/150, "")</f>
        <v/>
      </c>
      <c r="M193" s="35" t="s">
        <v>112</v>
      </c>
    </row>
    <row r="194" spans="1:21" ht="12" customHeight="1" x14ac:dyDescent="0.2">
      <c r="A194" s="65">
        <v>193</v>
      </c>
      <c r="B194" s="82">
        <v>111</v>
      </c>
      <c r="D194" s="29" t="s">
        <v>561</v>
      </c>
      <c r="E194" s="113" t="s">
        <v>66</v>
      </c>
      <c r="F194" s="31" t="s">
        <v>66</v>
      </c>
      <c r="G194" s="50" t="s">
        <v>81</v>
      </c>
      <c r="H194" s="29" t="s">
        <v>562</v>
      </c>
      <c r="I194" s="16"/>
      <c r="J194" s="32" t="s">
        <v>35</v>
      </c>
      <c r="K194" s="75" t="s">
        <v>35</v>
      </c>
      <c r="L194" s="34" t="str">
        <f>IF(ISNUMBER(I194), I194/150, "")</f>
        <v/>
      </c>
      <c r="M194" s="35" t="s">
        <v>112</v>
      </c>
    </row>
    <row r="195" spans="1:21" ht="12" customHeight="1" x14ac:dyDescent="0.2">
      <c r="A195" s="65">
        <v>194</v>
      </c>
      <c r="B195" s="82">
        <v>111</v>
      </c>
      <c r="D195" s="29" t="s">
        <v>563</v>
      </c>
      <c r="E195" s="113" t="s">
        <v>66</v>
      </c>
      <c r="F195" s="31" t="s">
        <v>66</v>
      </c>
      <c r="G195" s="50" t="s">
        <v>81</v>
      </c>
      <c r="H195" s="29" t="s">
        <v>564</v>
      </c>
      <c r="I195" s="16"/>
      <c r="J195" s="32" t="s">
        <v>35</v>
      </c>
      <c r="K195" s="75" t="s">
        <v>35</v>
      </c>
      <c r="L195" s="34" t="str">
        <f>IF(ISNUMBER(I195), I195/150, "")</f>
        <v/>
      </c>
      <c r="M195" s="35" t="s">
        <v>112</v>
      </c>
    </row>
    <row r="196" spans="1:21" ht="12" customHeight="1" x14ac:dyDescent="0.2">
      <c r="A196" s="65">
        <v>195</v>
      </c>
      <c r="B196" s="82">
        <v>111</v>
      </c>
      <c r="D196" s="29" t="s">
        <v>565</v>
      </c>
      <c r="E196" s="113" t="s">
        <v>66</v>
      </c>
      <c r="F196" s="31" t="s">
        <v>66</v>
      </c>
      <c r="G196" s="50" t="s">
        <v>81</v>
      </c>
      <c r="H196" s="29" t="s">
        <v>566</v>
      </c>
      <c r="I196" s="16"/>
      <c r="J196" s="32" t="s">
        <v>35</v>
      </c>
      <c r="K196" s="75" t="s">
        <v>35</v>
      </c>
      <c r="L196" s="34" t="str">
        <f>IF(ISNUMBER(I196), I196/150, "")</f>
        <v/>
      </c>
      <c r="M196" s="35" t="s">
        <v>112</v>
      </c>
    </row>
    <row r="197" spans="1:21" ht="12" customHeight="1" x14ac:dyDescent="0.2">
      <c r="A197" s="65">
        <v>215</v>
      </c>
      <c r="B197" s="82">
        <v>111</v>
      </c>
      <c r="D197" s="29" t="s">
        <v>567</v>
      </c>
      <c r="F197" s="31" t="s">
        <v>548</v>
      </c>
      <c r="G197" s="50" t="s">
        <v>33</v>
      </c>
      <c r="H197" s="29" t="s">
        <v>568</v>
      </c>
      <c r="I197" s="16">
        <f>35000</f>
        <v>35000</v>
      </c>
      <c r="J197" s="32" t="s">
        <v>35</v>
      </c>
      <c r="K197" s="75" t="s">
        <v>35</v>
      </c>
      <c r="L197" s="34">
        <f>IF(ISNUMBER(I197), I197/150, "")</f>
        <v>233.33333333333334</v>
      </c>
      <c r="M197" s="35" t="s">
        <v>112</v>
      </c>
    </row>
    <row r="198" spans="1:21" ht="12" customHeight="1" x14ac:dyDescent="0.2">
      <c r="A198" s="65">
        <v>216</v>
      </c>
      <c r="B198" s="82">
        <v>111</v>
      </c>
      <c r="D198" s="29" t="s">
        <v>569</v>
      </c>
      <c r="F198" s="31" t="s">
        <v>570</v>
      </c>
      <c r="G198" s="50" t="s">
        <v>33</v>
      </c>
      <c r="H198" s="29" t="s">
        <v>571</v>
      </c>
      <c r="I198" s="16"/>
      <c r="J198" s="32" t="s">
        <v>35</v>
      </c>
      <c r="K198" s="75" t="s">
        <v>35</v>
      </c>
      <c r="L198" s="34" t="str">
        <f>IF(ISNUMBER(I198), I198/150, "")</f>
        <v/>
      </c>
      <c r="M198" s="35" t="s">
        <v>112</v>
      </c>
    </row>
    <row r="199" spans="1:21" ht="12" customHeight="1" x14ac:dyDescent="0.2">
      <c r="A199" s="65">
        <v>233</v>
      </c>
      <c r="B199" s="82">
        <v>111</v>
      </c>
      <c r="D199" s="29" t="s">
        <v>572</v>
      </c>
      <c r="E199" s="30" t="s">
        <v>221</v>
      </c>
      <c r="F199" s="31" t="s">
        <v>127</v>
      </c>
      <c r="G199" s="50" t="s">
        <v>81</v>
      </c>
      <c r="H199" s="29" t="s">
        <v>573</v>
      </c>
      <c r="I199" s="16"/>
      <c r="J199" s="32" t="s">
        <v>35</v>
      </c>
      <c r="K199" s="75" t="s">
        <v>35</v>
      </c>
      <c r="L199" s="34" t="str">
        <f>IF(ISNUMBER(I199), I199/150, "")</f>
        <v/>
      </c>
      <c r="M199" s="35" t="s">
        <v>112</v>
      </c>
    </row>
    <row r="200" spans="1:21" ht="12" customHeight="1" x14ac:dyDescent="0.2">
      <c r="A200" s="65">
        <v>234</v>
      </c>
      <c r="B200" s="82">
        <v>111</v>
      </c>
      <c r="D200" s="29" t="s">
        <v>574</v>
      </c>
      <c r="F200" s="31" t="s">
        <v>575</v>
      </c>
      <c r="G200" s="50" t="s">
        <v>81</v>
      </c>
      <c r="I200" s="16"/>
      <c r="J200" s="32" t="s">
        <v>35</v>
      </c>
      <c r="K200" s="75" t="s">
        <v>35</v>
      </c>
      <c r="L200" s="34" t="str">
        <f>IF(ISNUMBER(I200), I200/150, "")</f>
        <v/>
      </c>
      <c r="M200" s="35" t="s">
        <v>112</v>
      </c>
    </row>
    <row r="201" spans="1:21" ht="12" customHeight="1" x14ac:dyDescent="0.2">
      <c r="A201" s="65">
        <v>239</v>
      </c>
      <c r="B201" s="82">
        <v>111</v>
      </c>
      <c r="D201" s="29" t="s">
        <v>576</v>
      </c>
      <c r="F201" s="104"/>
      <c r="G201" s="50" t="s">
        <v>33</v>
      </c>
      <c r="H201" s="29" t="s">
        <v>577</v>
      </c>
      <c r="I201" s="16"/>
      <c r="J201" s="32" t="s">
        <v>35</v>
      </c>
      <c r="K201" s="75" t="s">
        <v>35</v>
      </c>
      <c r="L201" s="34" t="str">
        <f>IF(ISNUMBER(I201), I201/150, "")</f>
        <v/>
      </c>
      <c r="M201" s="35" t="s">
        <v>112</v>
      </c>
      <c r="R201" s="123"/>
      <c r="S201" s="123"/>
      <c r="T201" s="123"/>
      <c r="U201" s="123"/>
    </row>
    <row r="202" spans="1:21" ht="12" customHeight="1" x14ac:dyDescent="0.2">
      <c r="A202" s="27">
        <v>242</v>
      </c>
      <c r="B202" s="82">
        <v>111</v>
      </c>
      <c r="C202" s="27"/>
      <c r="D202" s="78" t="s">
        <v>578</v>
      </c>
      <c r="F202" s="31" t="s">
        <v>95</v>
      </c>
      <c r="G202" s="50" t="s">
        <v>81</v>
      </c>
      <c r="H202" s="29" t="s">
        <v>579</v>
      </c>
      <c r="I202" s="16"/>
      <c r="J202" s="32" t="s">
        <v>35</v>
      </c>
      <c r="K202" s="75" t="s">
        <v>35</v>
      </c>
      <c r="L202" s="34" t="str">
        <f>IF(ISNUMBER(I202), I202/150, "")</f>
        <v/>
      </c>
      <c r="M202" s="35" t="s">
        <v>112</v>
      </c>
    </row>
    <row r="203" spans="1:21" ht="12" customHeight="1" x14ac:dyDescent="0.2">
      <c r="A203" s="27">
        <v>243</v>
      </c>
      <c r="B203" s="82">
        <v>111</v>
      </c>
      <c r="C203" s="27"/>
      <c r="D203" s="29" t="s">
        <v>580</v>
      </c>
      <c r="F203" s="31" t="s">
        <v>95</v>
      </c>
      <c r="G203" s="50" t="s">
        <v>81</v>
      </c>
      <c r="H203" s="29" t="s">
        <v>581</v>
      </c>
      <c r="I203" s="16"/>
      <c r="J203" s="32" t="s">
        <v>35</v>
      </c>
      <c r="K203" s="75" t="s">
        <v>35</v>
      </c>
      <c r="L203" s="34" t="str">
        <f>IF(ISNUMBER(I203), I203/150, "")</f>
        <v/>
      </c>
      <c r="M203" s="35" t="s">
        <v>112</v>
      </c>
      <c r="R203" s="144" t="s">
        <v>185</v>
      </c>
      <c r="S203" s="40" t="s">
        <v>185</v>
      </c>
      <c r="T203" s="40" t="s">
        <v>185</v>
      </c>
      <c r="U203" s="40" t="s">
        <v>185</v>
      </c>
    </row>
    <row r="204" spans="1:21" ht="12" customHeight="1" x14ac:dyDescent="0.2">
      <c r="A204" s="27">
        <v>244</v>
      </c>
      <c r="B204" s="82">
        <v>111</v>
      </c>
      <c r="C204" s="27"/>
      <c r="D204" s="29" t="s">
        <v>582</v>
      </c>
      <c r="F204" s="29" t="s">
        <v>32</v>
      </c>
      <c r="G204" s="50" t="s">
        <v>81</v>
      </c>
      <c r="H204" s="29" t="s">
        <v>583</v>
      </c>
      <c r="I204" s="16"/>
      <c r="J204" s="32" t="s">
        <v>35</v>
      </c>
      <c r="K204" s="75" t="s">
        <v>35</v>
      </c>
      <c r="L204" s="34" t="str">
        <f>IF(ISNUMBER(I204), I204/150, "")</f>
        <v/>
      </c>
      <c r="M204" s="35" t="s">
        <v>112</v>
      </c>
    </row>
    <row r="205" spans="1:21" ht="12" customHeight="1" x14ac:dyDescent="0.2">
      <c r="A205" s="65">
        <v>245</v>
      </c>
      <c r="B205" s="82">
        <v>111</v>
      </c>
      <c r="D205" s="29" t="s">
        <v>584</v>
      </c>
      <c r="F205" s="104"/>
      <c r="G205" s="50" t="s">
        <v>24</v>
      </c>
      <c r="H205" s="29" t="s">
        <v>577</v>
      </c>
      <c r="I205" s="16"/>
      <c r="J205" s="32" t="s">
        <v>35</v>
      </c>
      <c r="K205" s="75" t="s">
        <v>35</v>
      </c>
      <c r="L205" s="34" t="str">
        <f>IF(ISNUMBER(I205), I205/150, "")</f>
        <v/>
      </c>
      <c r="M205" s="35" t="s">
        <v>112</v>
      </c>
    </row>
    <row r="206" spans="1:21" ht="12" customHeight="1" x14ac:dyDescent="0.2">
      <c r="A206" s="65">
        <v>246</v>
      </c>
      <c r="B206" s="82">
        <v>111</v>
      </c>
      <c r="D206" s="29" t="s">
        <v>585</v>
      </c>
      <c r="E206" s="113" t="s">
        <v>66</v>
      </c>
      <c r="F206" s="31" t="s">
        <v>66</v>
      </c>
      <c r="G206" s="50" t="s">
        <v>33</v>
      </c>
      <c r="H206" s="29" t="s">
        <v>586</v>
      </c>
      <c r="I206" s="16"/>
      <c r="J206" s="32" t="s">
        <v>35</v>
      </c>
      <c r="K206" s="75" t="s">
        <v>35</v>
      </c>
      <c r="L206" s="34" t="str">
        <f>IF(ISNUMBER(I206), I206/150, "")</f>
        <v/>
      </c>
      <c r="M206" s="35" t="s">
        <v>112</v>
      </c>
    </row>
    <row r="207" spans="1:21" ht="12" customHeight="1" x14ac:dyDescent="0.2">
      <c r="A207" s="65">
        <v>247</v>
      </c>
      <c r="B207" s="82">
        <v>111</v>
      </c>
      <c r="D207" s="29" t="s">
        <v>587</v>
      </c>
      <c r="E207" s="113" t="s">
        <v>66</v>
      </c>
      <c r="F207" s="31" t="s">
        <v>66</v>
      </c>
      <c r="G207" s="50" t="s">
        <v>81</v>
      </c>
      <c r="H207" s="29" t="s">
        <v>588</v>
      </c>
      <c r="I207" s="16"/>
      <c r="J207" s="32" t="s">
        <v>35</v>
      </c>
      <c r="K207" s="75" t="s">
        <v>35</v>
      </c>
      <c r="L207" s="34" t="str">
        <f>IF(ISNUMBER(I207), I207/150, "")</f>
        <v/>
      </c>
      <c r="M207" s="35" t="s">
        <v>112</v>
      </c>
    </row>
    <row r="208" spans="1:21" ht="12" customHeight="1" x14ac:dyDescent="0.2">
      <c r="A208" s="65">
        <v>251</v>
      </c>
      <c r="B208" s="82">
        <v>111</v>
      </c>
      <c r="D208" s="29" t="s">
        <v>589</v>
      </c>
      <c r="F208" s="104"/>
      <c r="G208" s="50" t="s">
        <v>251</v>
      </c>
      <c r="I208" s="16"/>
      <c r="J208" s="32" t="s">
        <v>35</v>
      </c>
      <c r="K208" s="75" t="s">
        <v>35</v>
      </c>
      <c r="L208" s="34" t="str">
        <f>IF(ISNUMBER(I208), I208/150, "")</f>
        <v/>
      </c>
      <c r="M208" s="35" t="s">
        <v>112</v>
      </c>
    </row>
    <row r="209" spans="1:22" ht="14.25" customHeight="1" x14ac:dyDescent="0.2">
      <c r="A209" s="65">
        <v>258</v>
      </c>
      <c r="B209" s="82">
        <v>111</v>
      </c>
      <c r="D209" s="29" t="s">
        <v>590</v>
      </c>
      <c r="F209" s="29" t="s">
        <v>591</v>
      </c>
      <c r="G209" s="50" t="s">
        <v>24</v>
      </c>
      <c r="H209" s="29" t="s">
        <v>592</v>
      </c>
      <c r="I209" s="16"/>
      <c r="J209" s="32" t="s">
        <v>35</v>
      </c>
      <c r="K209" s="75" t="s">
        <v>35</v>
      </c>
      <c r="L209" s="34" t="str">
        <f>IF(ISNUMBER(I209), I209/150, "")</f>
        <v/>
      </c>
      <c r="M209" s="35" t="s">
        <v>112</v>
      </c>
    </row>
    <row r="210" spans="1:22" s="123" customFormat="1" ht="12" customHeight="1" x14ac:dyDescent="0.2">
      <c r="A210" s="65">
        <v>263</v>
      </c>
      <c r="B210" s="82">
        <v>111</v>
      </c>
      <c r="C210" s="65"/>
      <c r="D210" s="29" t="s">
        <v>593</v>
      </c>
      <c r="E210" s="30"/>
      <c r="F210" s="104"/>
      <c r="G210" s="50" t="s">
        <v>81</v>
      </c>
      <c r="H210" s="29"/>
      <c r="I210" s="16"/>
      <c r="J210" s="32" t="s">
        <v>35</v>
      </c>
      <c r="K210" s="75" t="s">
        <v>35</v>
      </c>
      <c r="L210" s="34" t="str">
        <f>IF(ISNUMBER(I210), I210/150, "")</f>
        <v/>
      </c>
      <c r="M210" s="35" t="s">
        <v>112</v>
      </c>
      <c r="N210" s="42"/>
      <c r="O210" s="68"/>
      <c r="P210" s="68"/>
      <c r="Q210" s="69"/>
      <c r="R210" s="40"/>
      <c r="S210" s="40"/>
      <c r="T210" s="40"/>
      <c r="U210" s="40"/>
      <c r="V210" s="9"/>
    </row>
    <row r="211" spans="1:22" ht="12" customHeight="1" x14ac:dyDescent="0.2">
      <c r="A211" s="27">
        <v>274</v>
      </c>
      <c r="B211" s="82">
        <v>111</v>
      </c>
      <c r="C211" s="27"/>
      <c r="D211" s="29" t="s">
        <v>594</v>
      </c>
      <c r="E211" s="49"/>
      <c r="F211" s="31" t="s">
        <v>95</v>
      </c>
      <c r="G211" s="31" t="s">
        <v>24</v>
      </c>
      <c r="I211" s="16"/>
      <c r="J211" s="32" t="s">
        <v>35</v>
      </c>
      <c r="K211" s="75" t="s">
        <v>35</v>
      </c>
      <c r="L211" s="34" t="str">
        <f>IF(ISNUMBER(I211), I211/150, "")</f>
        <v/>
      </c>
      <c r="M211" s="35" t="s">
        <v>112</v>
      </c>
      <c r="O211" s="38"/>
      <c r="P211" s="38"/>
      <c r="Q211" s="39"/>
    </row>
    <row r="212" spans="1:22" s="142" customFormat="1" ht="12" customHeight="1" x14ac:dyDescent="0.2">
      <c r="A212" s="27">
        <v>275</v>
      </c>
      <c r="B212" s="82">
        <v>111</v>
      </c>
      <c r="C212" s="27"/>
      <c r="D212" s="29" t="s">
        <v>595</v>
      </c>
      <c r="E212" s="49"/>
      <c r="F212" s="31" t="s">
        <v>161</v>
      </c>
      <c r="G212" s="31" t="s">
        <v>24</v>
      </c>
      <c r="H212" s="29" t="s">
        <v>596</v>
      </c>
      <c r="I212" s="16"/>
      <c r="J212" s="32" t="s">
        <v>35</v>
      </c>
      <c r="K212" s="75" t="s">
        <v>35</v>
      </c>
      <c r="L212" s="34" t="str">
        <f>IF(ISNUMBER(I212), I212/150, "")</f>
        <v/>
      </c>
      <c r="M212" s="35" t="s">
        <v>112</v>
      </c>
      <c r="N212" s="42"/>
      <c r="O212" s="38"/>
      <c r="P212" s="38"/>
      <c r="Q212" s="39"/>
      <c r="R212" s="40"/>
      <c r="S212" s="40"/>
      <c r="T212" s="40"/>
      <c r="U212" s="40"/>
      <c r="V212" s="9"/>
    </row>
    <row r="213" spans="1:22" ht="12" customHeight="1" x14ac:dyDescent="0.2">
      <c r="A213" s="27">
        <v>283</v>
      </c>
      <c r="B213" s="82">
        <v>111</v>
      </c>
      <c r="C213" s="27"/>
      <c r="D213" s="29" t="s">
        <v>597</v>
      </c>
      <c r="E213" s="49" t="s">
        <v>598</v>
      </c>
      <c r="F213" s="31" t="s">
        <v>161</v>
      </c>
      <c r="G213" s="31" t="s">
        <v>24</v>
      </c>
      <c r="H213" s="29" t="s">
        <v>599</v>
      </c>
      <c r="I213" s="16"/>
      <c r="J213" s="32" t="s">
        <v>35</v>
      </c>
      <c r="K213" s="75" t="s">
        <v>35</v>
      </c>
      <c r="L213" s="34" t="str">
        <f>IF(ISNUMBER(I213), I213/150, "")</f>
        <v/>
      </c>
      <c r="M213" s="35" t="s">
        <v>112</v>
      </c>
      <c r="O213" s="38"/>
      <c r="P213" s="38"/>
      <c r="Q213" s="39"/>
    </row>
    <row r="214" spans="1:22" ht="12" customHeight="1" x14ac:dyDescent="0.2">
      <c r="A214" s="27">
        <v>286</v>
      </c>
      <c r="B214" s="82">
        <v>111</v>
      </c>
      <c r="C214" s="27"/>
      <c r="D214" s="29" t="s">
        <v>600</v>
      </c>
      <c r="E214" s="49"/>
      <c r="F214" s="31" t="s">
        <v>136</v>
      </c>
      <c r="G214" s="31" t="s">
        <v>33</v>
      </c>
      <c r="I214" s="16"/>
      <c r="J214" s="32" t="s">
        <v>35</v>
      </c>
      <c r="K214" s="75" t="s">
        <v>35</v>
      </c>
      <c r="L214" s="34" t="str">
        <f>IF(ISNUMBER(I214), I214/150, "")</f>
        <v/>
      </c>
      <c r="M214" s="35" t="s">
        <v>112</v>
      </c>
      <c r="O214" s="38"/>
      <c r="P214" s="38"/>
      <c r="Q214" s="39"/>
    </row>
    <row r="215" spans="1:22" ht="12" customHeight="1" x14ac:dyDescent="0.2">
      <c r="A215" s="27">
        <v>287</v>
      </c>
      <c r="B215" s="82">
        <v>111</v>
      </c>
      <c r="C215" s="27"/>
      <c r="D215" s="29" t="s">
        <v>601</v>
      </c>
      <c r="E215" s="49"/>
      <c r="F215" s="31" t="s">
        <v>136</v>
      </c>
      <c r="G215" s="31" t="s">
        <v>33</v>
      </c>
      <c r="H215" s="29" t="s">
        <v>602</v>
      </c>
      <c r="I215" s="16"/>
      <c r="J215" s="32" t="s">
        <v>35</v>
      </c>
      <c r="K215" s="75" t="s">
        <v>35</v>
      </c>
      <c r="L215" s="34" t="str">
        <f>IF(ISNUMBER(I215), I215/150, "")</f>
        <v/>
      </c>
      <c r="M215" s="35" t="s">
        <v>112</v>
      </c>
      <c r="O215" s="38"/>
      <c r="P215" s="38"/>
      <c r="Q215" s="39"/>
    </row>
    <row r="216" spans="1:22" ht="12" customHeight="1" x14ac:dyDescent="0.2">
      <c r="A216" s="80">
        <v>296</v>
      </c>
      <c r="B216" s="82">
        <v>111</v>
      </c>
      <c r="C216" s="80"/>
      <c r="D216" s="13" t="s">
        <v>603</v>
      </c>
      <c r="E216" s="136"/>
      <c r="F216" s="15" t="s">
        <v>604</v>
      </c>
      <c r="G216" s="15" t="s">
        <v>24</v>
      </c>
      <c r="H216" s="13"/>
      <c r="I216" s="16"/>
      <c r="J216" s="137" t="s">
        <v>35</v>
      </c>
      <c r="K216" s="75" t="s">
        <v>35</v>
      </c>
      <c r="L216" s="34" t="str">
        <f>IF(ISNUMBER(I216), I216/150, "")</f>
        <v/>
      </c>
      <c r="M216" s="138" t="s">
        <v>112</v>
      </c>
      <c r="N216" s="139"/>
      <c r="O216" s="140"/>
      <c r="P216" s="140"/>
      <c r="Q216" s="141"/>
    </row>
    <row r="217" spans="1:22" ht="12" customHeight="1" x14ac:dyDescent="0.2">
      <c r="A217" s="27">
        <v>297</v>
      </c>
      <c r="B217" s="82">
        <v>111</v>
      </c>
      <c r="C217" s="27"/>
      <c r="D217" s="29" t="s">
        <v>605</v>
      </c>
      <c r="E217" s="49"/>
      <c r="F217" s="31" t="s">
        <v>606</v>
      </c>
      <c r="G217" s="31" t="s">
        <v>24</v>
      </c>
      <c r="I217" s="16"/>
      <c r="J217" s="32" t="s">
        <v>35</v>
      </c>
      <c r="K217" s="75" t="s">
        <v>35</v>
      </c>
      <c r="L217" s="34" t="str">
        <f>IF(ISNUMBER(I217), I217/150, "")</f>
        <v/>
      </c>
      <c r="M217" s="35" t="s">
        <v>112</v>
      </c>
      <c r="O217" s="38"/>
      <c r="P217" s="38"/>
      <c r="Q217" s="39"/>
    </row>
    <row r="218" spans="1:22" ht="12" customHeight="1" x14ac:dyDescent="0.2">
      <c r="A218" s="27">
        <v>298</v>
      </c>
      <c r="B218" s="82">
        <v>111</v>
      </c>
      <c r="C218" s="27"/>
      <c r="D218" s="29" t="s">
        <v>607</v>
      </c>
      <c r="E218" s="49"/>
      <c r="F218" s="31" t="s">
        <v>606</v>
      </c>
      <c r="G218" s="31" t="s">
        <v>24</v>
      </c>
      <c r="I218" s="16"/>
      <c r="J218" s="32" t="s">
        <v>35</v>
      </c>
      <c r="K218" s="75" t="s">
        <v>35</v>
      </c>
      <c r="L218" s="34" t="str">
        <f>IF(ISNUMBER(I218), I218/150, "")</f>
        <v/>
      </c>
      <c r="M218" s="35" t="s">
        <v>112</v>
      </c>
      <c r="O218" s="38"/>
      <c r="P218" s="38"/>
      <c r="Q218" s="39"/>
    </row>
    <row r="219" spans="1:22" ht="12" customHeight="1" x14ac:dyDescent="0.2">
      <c r="A219" s="27">
        <v>299</v>
      </c>
      <c r="B219" s="82">
        <v>111</v>
      </c>
      <c r="C219" s="27"/>
      <c r="D219" s="29" t="s">
        <v>608</v>
      </c>
      <c r="E219" s="49"/>
      <c r="F219" s="31" t="s">
        <v>604</v>
      </c>
      <c r="G219" s="31" t="s">
        <v>24</v>
      </c>
      <c r="I219" s="16"/>
      <c r="J219" s="32" t="s">
        <v>35</v>
      </c>
      <c r="K219" s="75" t="s">
        <v>35</v>
      </c>
      <c r="L219" s="34" t="str">
        <f>IF(ISNUMBER(I219), I219/150, "")</f>
        <v/>
      </c>
      <c r="M219" s="35" t="s">
        <v>112</v>
      </c>
      <c r="O219" s="38"/>
      <c r="P219" s="38"/>
      <c r="Q219" s="39"/>
    </row>
    <row r="220" spans="1:22" ht="12" customHeight="1" x14ac:dyDescent="0.2">
      <c r="A220" s="27">
        <v>300</v>
      </c>
      <c r="B220" s="82">
        <v>111</v>
      </c>
      <c r="C220" s="27"/>
      <c r="D220" s="29" t="s">
        <v>609</v>
      </c>
      <c r="E220" s="49"/>
      <c r="F220" s="31" t="s">
        <v>610</v>
      </c>
      <c r="G220" s="31" t="s">
        <v>24</v>
      </c>
      <c r="I220" s="16"/>
      <c r="J220" s="32" t="s">
        <v>35</v>
      </c>
      <c r="K220" s="75" t="s">
        <v>35</v>
      </c>
      <c r="L220" s="34" t="str">
        <f>IF(ISNUMBER(I220), I220/150, "")</f>
        <v/>
      </c>
      <c r="M220" s="35" t="s">
        <v>112</v>
      </c>
      <c r="O220" s="38"/>
      <c r="P220" s="38"/>
      <c r="Q220" s="39"/>
    </row>
    <row r="221" spans="1:22" ht="12" customHeight="1" x14ac:dyDescent="0.2">
      <c r="A221" s="27">
        <v>301</v>
      </c>
      <c r="B221" s="82">
        <v>111</v>
      </c>
      <c r="C221" s="27"/>
      <c r="D221" s="29" t="s">
        <v>611</v>
      </c>
      <c r="E221" s="49"/>
      <c r="F221" s="31" t="s">
        <v>610</v>
      </c>
      <c r="G221" s="31" t="s">
        <v>24</v>
      </c>
      <c r="I221" s="16"/>
      <c r="J221" s="32" t="s">
        <v>35</v>
      </c>
      <c r="K221" s="75" t="s">
        <v>35</v>
      </c>
      <c r="L221" s="34" t="str">
        <f>IF(ISNUMBER(I221), I221/150, "")</f>
        <v/>
      </c>
      <c r="M221" s="35" t="s">
        <v>112</v>
      </c>
      <c r="O221" s="38"/>
      <c r="P221" s="38"/>
      <c r="Q221" s="39"/>
    </row>
    <row r="222" spans="1:22" ht="12" customHeight="1" x14ac:dyDescent="0.2">
      <c r="A222" s="27">
        <v>312</v>
      </c>
      <c r="B222" s="82">
        <v>111</v>
      </c>
      <c r="C222" s="27"/>
      <c r="D222" s="29" t="s">
        <v>612</v>
      </c>
      <c r="E222" s="49" t="s">
        <v>543</v>
      </c>
      <c r="F222" s="31" t="s">
        <v>341</v>
      </c>
      <c r="G222" s="46" t="s">
        <v>33</v>
      </c>
      <c r="H222" s="29" t="s">
        <v>613</v>
      </c>
      <c r="I222" s="16">
        <f>35000</f>
        <v>35000</v>
      </c>
      <c r="J222" s="32" t="s">
        <v>35</v>
      </c>
      <c r="K222" s="75" t="s">
        <v>35</v>
      </c>
      <c r="L222" s="34">
        <f>IF(ISNUMBER(I222), I222/150, "")</f>
        <v>233.33333333333334</v>
      </c>
      <c r="M222" s="35" t="s">
        <v>112</v>
      </c>
      <c r="O222" s="38"/>
      <c r="P222" s="38"/>
      <c r="Q222" s="39"/>
    </row>
    <row r="223" spans="1:22" ht="12" customHeight="1" x14ac:dyDescent="0.2">
      <c r="A223" s="27">
        <v>319</v>
      </c>
      <c r="B223" s="82">
        <v>111</v>
      </c>
      <c r="C223" s="27"/>
      <c r="D223" s="29" t="s">
        <v>614</v>
      </c>
      <c r="E223" s="49" t="s">
        <v>615</v>
      </c>
      <c r="F223" s="31" t="s">
        <v>616</v>
      </c>
      <c r="G223" s="31" t="s">
        <v>81</v>
      </c>
      <c r="H223" s="29" t="s">
        <v>617</v>
      </c>
      <c r="I223" s="16"/>
      <c r="J223" s="32" t="s">
        <v>35</v>
      </c>
      <c r="K223" s="75" t="s">
        <v>35</v>
      </c>
      <c r="L223" s="34" t="str">
        <f>IF(ISNUMBER(I223), I223/150, "")</f>
        <v/>
      </c>
      <c r="M223" s="35" t="s">
        <v>112</v>
      </c>
      <c r="O223" s="38"/>
      <c r="P223" s="38"/>
      <c r="Q223" s="39"/>
    </row>
    <row r="224" spans="1:22" ht="12" customHeight="1" x14ac:dyDescent="0.2">
      <c r="A224" s="27">
        <v>323</v>
      </c>
      <c r="B224" s="82">
        <v>111</v>
      </c>
      <c r="C224" s="27"/>
      <c r="D224" s="29" t="s">
        <v>618</v>
      </c>
      <c r="E224" s="49" t="s">
        <v>543</v>
      </c>
      <c r="F224" s="31" t="s">
        <v>32</v>
      </c>
      <c r="G224" s="31" t="s">
        <v>33</v>
      </c>
      <c r="H224" s="29" t="s">
        <v>286</v>
      </c>
      <c r="I224" s="16"/>
      <c r="J224" s="32" t="s">
        <v>35</v>
      </c>
      <c r="K224" s="75" t="s">
        <v>35</v>
      </c>
      <c r="L224" s="34" t="str">
        <f>IF(ISNUMBER(I224), I224/150, "")</f>
        <v/>
      </c>
      <c r="M224" s="35" t="s">
        <v>112</v>
      </c>
      <c r="O224" s="38"/>
      <c r="P224" s="38"/>
      <c r="Q224" s="39"/>
    </row>
    <row r="225" spans="1:22" ht="12" customHeight="1" x14ac:dyDescent="0.2">
      <c r="A225" s="27">
        <v>324</v>
      </c>
      <c r="B225" s="82">
        <v>111</v>
      </c>
      <c r="C225" s="27"/>
      <c r="D225" s="29" t="s">
        <v>619</v>
      </c>
      <c r="E225" s="49" t="s">
        <v>543</v>
      </c>
      <c r="F225" s="31" t="s">
        <v>95</v>
      </c>
      <c r="G225" s="31" t="s">
        <v>33</v>
      </c>
      <c r="H225" s="29" t="s">
        <v>286</v>
      </c>
      <c r="I225" s="16"/>
      <c r="J225" s="32" t="s">
        <v>35</v>
      </c>
      <c r="K225" s="75" t="s">
        <v>35</v>
      </c>
      <c r="L225" s="34" t="str">
        <f>IF(ISNUMBER(I225), I225/150, "")</f>
        <v/>
      </c>
      <c r="M225" s="35" t="s">
        <v>112</v>
      </c>
      <c r="O225" s="38"/>
      <c r="P225" s="38"/>
      <c r="Q225" s="39"/>
    </row>
    <row r="226" spans="1:22" ht="12" customHeight="1" x14ac:dyDescent="0.2">
      <c r="A226" s="27">
        <v>330</v>
      </c>
      <c r="B226" s="82">
        <v>111</v>
      </c>
      <c r="C226" s="27"/>
      <c r="D226" s="29" t="s">
        <v>620</v>
      </c>
      <c r="E226" s="49" t="s">
        <v>543</v>
      </c>
      <c r="F226" s="31" t="s">
        <v>32</v>
      </c>
      <c r="G226" s="31" t="s">
        <v>33</v>
      </c>
      <c r="H226" s="29" t="s">
        <v>286</v>
      </c>
      <c r="I226" s="16"/>
      <c r="J226" s="32" t="s">
        <v>35</v>
      </c>
      <c r="K226" s="75" t="s">
        <v>35</v>
      </c>
      <c r="L226" s="34" t="str">
        <f>IF(ISNUMBER(I226), I226/150, "")</f>
        <v/>
      </c>
      <c r="M226" s="35" t="s">
        <v>112</v>
      </c>
      <c r="O226" s="38"/>
      <c r="P226" s="38"/>
      <c r="Q226" s="39"/>
    </row>
    <row r="227" spans="1:22" ht="12" customHeight="1" x14ac:dyDescent="0.2">
      <c r="A227" s="27">
        <v>350</v>
      </c>
      <c r="B227" s="82">
        <v>111</v>
      </c>
      <c r="C227" s="27"/>
      <c r="D227" s="29" t="s">
        <v>621</v>
      </c>
      <c r="E227" s="49"/>
      <c r="F227" s="31" t="s">
        <v>228</v>
      </c>
      <c r="G227" s="31" t="s">
        <v>388</v>
      </c>
      <c r="H227" s="29" t="s">
        <v>622</v>
      </c>
      <c r="I227" s="16"/>
      <c r="J227" s="32" t="s">
        <v>35</v>
      </c>
      <c r="K227" s="75" t="s">
        <v>35</v>
      </c>
      <c r="L227" s="34" t="str">
        <f>IF(ISNUMBER(I227), I227/150, "")</f>
        <v/>
      </c>
      <c r="M227" s="35" t="s">
        <v>112</v>
      </c>
      <c r="O227" s="38"/>
      <c r="P227" s="38"/>
      <c r="Q227" s="39"/>
      <c r="V227" s="9">
        <v>8</v>
      </c>
    </row>
    <row r="228" spans="1:22" ht="12" customHeight="1" x14ac:dyDescent="0.2">
      <c r="A228" s="27">
        <v>372</v>
      </c>
      <c r="B228" s="82">
        <v>111</v>
      </c>
      <c r="C228" s="27"/>
      <c r="D228" s="29" t="s">
        <v>623</v>
      </c>
      <c r="E228" s="113" t="s">
        <v>66</v>
      </c>
      <c r="F228" s="31" t="s">
        <v>66</v>
      </c>
      <c r="G228" s="31" t="s">
        <v>24</v>
      </c>
      <c r="H228" s="29" t="s">
        <v>624</v>
      </c>
      <c r="I228" s="16"/>
      <c r="J228" s="32" t="s">
        <v>35</v>
      </c>
      <c r="K228" s="75" t="s">
        <v>35</v>
      </c>
      <c r="L228" s="34" t="str">
        <f>IF(ISNUMBER(I228), I228/150, "")</f>
        <v/>
      </c>
      <c r="M228" s="35" t="s">
        <v>112</v>
      </c>
      <c r="O228" s="38"/>
      <c r="P228" s="38"/>
      <c r="Q228" s="39"/>
    </row>
    <row r="229" spans="1:22" ht="12" customHeight="1" x14ac:dyDescent="0.2">
      <c r="A229" s="27">
        <v>377</v>
      </c>
      <c r="B229" s="82">
        <v>111</v>
      </c>
      <c r="C229" s="27"/>
      <c r="D229" s="29" t="s">
        <v>625</v>
      </c>
      <c r="E229" s="113" t="s">
        <v>66</v>
      </c>
      <c r="F229" s="31" t="s">
        <v>66</v>
      </c>
      <c r="G229" s="31" t="s">
        <v>24</v>
      </c>
      <c r="H229" s="29" t="s">
        <v>626</v>
      </c>
      <c r="I229" s="16"/>
      <c r="J229" s="32" t="s">
        <v>35</v>
      </c>
      <c r="K229" s="75" t="s">
        <v>35</v>
      </c>
      <c r="L229" s="34" t="str">
        <f>IF(ISNUMBER(I229), I229/150, "")</f>
        <v/>
      </c>
      <c r="M229" s="35" t="s">
        <v>627</v>
      </c>
      <c r="O229" s="38"/>
      <c r="P229" s="38"/>
      <c r="Q229" s="39"/>
    </row>
    <row r="230" spans="1:22" ht="12" customHeight="1" x14ac:dyDescent="0.2">
      <c r="A230" s="27">
        <v>435</v>
      </c>
      <c r="B230" s="82">
        <v>111</v>
      </c>
      <c r="C230" s="27"/>
      <c r="D230" s="29" t="s">
        <v>628</v>
      </c>
      <c r="E230" s="49" t="s">
        <v>598</v>
      </c>
      <c r="F230" s="31" t="s">
        <v>161</v>
      </c>
      <c r="G230" s="31" t="s">
        <v>24</v>
      </c>
      <c r="H230" s="29" t="s">
        <v>629</v>
      </c>
      <c r="I230" s="16">
        <v>6750</v>
      </c>
      <c r="J230" s="32" t="s">
        <v>35</v>
      </c>
      <c r="K230" s="75" t="s">
        <v>35</v>
      </c>
      <c r="L230" s="34">
        <f>IF(ISNUMBER(I230), I230/150, "")</f>
        <v>45</v>
      </c>
      <c r="M230" s="35" t="s">
        <v>112</v>
      </c>
      <c r="O230" s="38"/>
      <c r="P230" s="38"/>
      <c r="Q230" s="39"/>
    </row>
    <row r="231" spans="1:22" ht="12" customHeight="1" x14ac:dyDescent="0.2">
      <c r="A231" s="27">
        <v>440</v>
      </c>
      <c r="B231" s="82">
        <v>111</v>
      </c>
      <c r="C231" s="27"/>
      <c r="D231" s="29" t="s">
        <v>630</v>
      </c>
      <c r="E231" s="113" t="s">
        <v>66</v>
      </c>
      <c r="F231" s="31" t="s">
        <v>631</v>
      </c>
      <c r="G231" s="31" t="s">
        <v>24</v>
      </c>
      <c r="H231" s="29" t="s">
        <v>632</v>
      </c>
      <c r="I231" s="16"/>
      <c r="J231" s="32" t="s">
        <v>35</v>
      </c>
      <c r="K231" s="75" t="s">
        <v>35</v>
      </c>
      <c r="L231" s="34" t="str">
        <f>IF(ISNUMBER(I231), I231/150, "")</f>
        <v/>
      </c>
      <c r="M231" s="35" t="s">
        <v>112</v>
      </c>
      <c r="O231" s="38"/>
      <c r="P231" s="38"/>
      <c r="Q231" s="39"/>
    </row>
    <row r="232" spans="1:22" ht="12" customHeight="1" x14ac:dyDescent="0.2">
      <c r="A232" s="27">
        <v>454</v>
      </c>
      <c r="B232" s="82">
        <v>111</v>
      </c>
      <c r="C232" s="27"/>
      <c r="D232" s="29" t="s">
        <v>633</v>
      </c>
      <c r="E232" s="49"/>
      <c r="F232" s="31" t="s">
        <v>148</v>
      </c>
      <c r="G232" s="31" t="s">
        <v>24</v>
      </c>
      <c r="I232" s="16"/>
      <c r="J232" s="32" t="s">
        <v>35</v>
      </c>
      <c r="K232" s="75" t="s">
        <v>35</v>
      </c>
      <c r="L232" s="34" t="str">
        <f>IF(ISNUMBER(I232), I232/150, "")</f>
        <v/>
      </c>
      <c r="M232" s="35" t="s">
        <v>112</v>
      </c>
      <c r="O232" s="38"/>
      <c r="P232" s="38"/>
      <c r="Q232" s="39"/>
    </row>
    <row r="233" spans="1:22" ht="12" customHeight="1" x14ac:dyDescent="0.2">
      <c r="A233" s="27">
        <v>456</v>
      </c>
      <c r="B233" s="82">
        <v>111</v>
      </c>
      <c r="C233" s="27"/>
      <c r="D233" s="29" t="s">
        <v>634</v>
      </c>
      <c r="E233" s="49"/>
      <c r="F233" s="31" t="s">
        <v>77</v>
      </c>
      <c r="G233" s="31" t="s">
        <v>24</v>
      </c>
      <c r="I233" s="16"/>
      <c r="J233" s="32" t="s">
        <v>35</v>
      </c>
      <c r="K233" s="75" t="s">
        <v>35</v>
      </c>
      <c r="L233" s="34" t="str">
        <f>IF(ISNUMBER(I233), I233/150, "")</f>
        <v/>
      </c>
      <c r="M233" s="35" t="s">
        <v>112</v>
      </c>
      <c r="O233" s="38"/>
      <c r="P233" s="38"/>
      <c r="Q233" s="39"/>
    </row>
    <row r="234" spans="1:22" ht="12" customHeight="1" x14ac:dyDescent="0.2">
      <c r="A234" s="27">
        <v>457</v>
      </c>
      <c r="B234" s="82">
        <v>111</v>
      </c>
      <c r="C234" s="27"/>
      <c r="D234" s="29" t="s">
        <v>635</v>
      </c>
      <c r="E234" s="49"/>
      <c r="F234" s="31" t="s">
        <v>148</v>
      </c>
      <c r="G234" s="31" t="s">
        <v>24</v>
      </c>
      <c r="I234" s="16"/>
      <c r="J234" s="32" t="s">
        <v>35</v>
      </c>
      <c r="K234" s="75" t="s">
        <v>35</v>
      </c>
      <c r="L234" s="34" t="str">
        <f>IF(ISNUMBER(I234), I234/150, "")</f>
        <v/>
      </c>
      <c r="M234" s="35" t="s">
        <v>112</v>
      </c>
      <c r="O234" s="38"/>
      <c r="P234" s="38"/>
      <c r="Q234" s="39"/>
    </row>
    <row r="235" spans="1:22" ht="12" customHeight="1" x14ac:dyDescent="0.2">
      <c r="A235" s="27">
        <v>458</v>
      </c>
      <c r="B235" s="82">
        <v>111</v>
      </c>
      <c r="C235" s="27"/>
      <c r="D235" s="29" t="s">
        <v>636</v>
      </c>
      <c r="E235" s="49" t="s">
        <v>543</v>
      </c>
      <c r="F235" s="31" t="s">
        <v>637</v>
      </c>
      <c r="G235" s="31" t="s">
        <v>33</v>
      </c>
      <c r="H235" s="29" t="s">
        <v>638</v>
      </c>
      <c r="I235" s="16">
        <f>35000</f>
        <v>35000</v>
      </c>
      <c r="J235" s="32" t="s">
        <v>35</v>
      </c>
      <c r="K235" s="75" t="s">
        <v>35</v>
      </c>
      <c r="L235" s="34">
        <f>IF(ISNUMBER(I235), I235/150, "")</f>
        <v>233.33333333333334</v>
      </c>
      <c r="M235" s="35" t="s">
        <v>112</v>
      </c>
      <c r="O235" s="38"/>
      <c r="P235" s="38"/>
      <c r="Q235" s="39"/>
    </row>
    <row r="236" spans="1:22" ht="12" customHeight="1" x14ac:dyDescent="0.2">
      <c r="A236" s="27">
        <v>460</v>
      </c>
      <c r="B236" s="82">
        <v>111</v>
      </c>
      <c r="C236" s="27"/>
      <c r="D236" s="29" t="s">
        <v>639</v>
      </c>
      <c r="E236" s="49"/>
      <c r="F236" s="31" t="s">
        <v>148</v>
      </c>
      <c r="G236" s="31" t="s">
        <v>24</v>
      </c>
      <c r="I236" s="16"/>
      <c r="J236" s="32" t="s">
        <v>35</v>
      </c>
      <c r="K236" s="75" t="s">
        <v>35</v>
      </c>
      <c r="L236" s="34" t="str">
        <f>IF(ISNUMBER(I236), I236/150, "")</f>
        <v/>
      </c>
      <c r="M236" s="35" t="s">
        <v>112</v>
      </c>
      <c r="O236" s="38"/>
      <c r="P236" s="38"/>
      <c r="Q236" s="39"/>
    </row>
    <row r="237" spans="1:22" ht="12" customHeight="1" x14ac:dyDescent="0.2">
      <c r="A237" s="27">
        <v>468</v>
      </c>
      <c r="B237" s="82">
        <v>111</v>
      </c>
      <c r="C237" s="27"/>
      <c r="D237" s="29" t="s">
        <v>640</v>
      </c>
      <c r="E237" s="49"/>
      <c r="F237" s="31" t="s">
        <v>32</v>
      </c>
      <c r="G237" s="31" t="s">
        <v>24</v>
      </c>
      <c r="I237" s="16"/>
      <c r="J237" s="32" t="s">
        <v>35</v>
      </c>
      <c r="K237" s="75" t="s">
        <v>35</v>
      </c>
      <c r="L237" s="34" t="str">
        <f>IF(ISNUMBER(I237), I237/150, "")</f>
        <v/>
      </c>
      <c r="M237" s="35" t="s">
        <v>112</v>
      </c>
      <c r="O237" s="38"/>
      <c r="P237" s="38"/>
      <c r="Q237" s="39"/>
    </row>
    <row r="238" spans="1:22" ht="12" customHeight="1" x14ac:dyDescent="0.2">
      <c r="A238" s="27">
        <v>474</v>
      </c>
      <c r="B238" s="82">
        <v>111</v>
      </c>
      <c r="C238" s="27"/>
      <c r="D238" s="29" t="s">
        <v>641</v>
      </c>
      <c r="E238" s="113"/>
      <c r="F238" s="31" t="s">
        <v>148</v>
      </c>
      <c r="G238" s="31" t="s">
        <v>24</v>
      </c>
      <c r="H238" s="29" t="s">
        <v>642</v>
      </c>
      <c r="I238" s="16"/>
      <c r="J238" s="32" t="s">
        <v>35</v>
      </c>
      <c r="K238" s="75" t="s">
        <v>35</v>
      </c>
      <c r="L238" s="34" t="str">
        <f>IF(ISNUMBER(I238), I238/150, "")</f>
        <v/>
      </c>
      <c r="M238" s="35" t="s">
        <v>112</v>
      </c>
      <c r="O238" s="38"/>
      <c r="P238" s="38"/>
      <c r="Q238" s="39"/>
      <c r="R238" s="40" t="s">
        <v>643</v>
      </c>
      <c r="S238" s="40" t="s">
        <v>185</v>
      </c>
      <c r="T238" s="40" t="s">
        <v>185</v>
      </c>
      <c r="U238" s="40" t="s">
        <v>185</v>
      </c>
    </row>
    <row r="239" spans="1:22" ht="12" customHeight="1" x14ac:dyDescent="0.2">
      <c r="A239" s="27">
        <v>475</v>
      </c>
      <c r="B239" s="82">
        <v>111</v>
      </c>
      <c r="C239" s="27"/>
      <c r="D239" s="29" t="s">
        <v>644</v>
      </c>
      <c r="E239" s="49"/>
      <c r="F239" s="104"/>
      <c r="G239" s="31" t="s">
        <v>251</v>
      </c>
      <c r="H239" s="29" t="s">
        <v>645</v>
      </c>
      <c r="I239" s="16"/>
      <c r="J239" s="32" t="s">
        <v>35</v>
      </c>
      <c r="K239" s="75" t="s">
        <v>35</v>
      </c>
      <c r="L239" s="34" t="str">
        <f>IF(ISNUMBER(I239), I239/150, "")</f>
        <v/>
      </c>
      <c r="M239" s="35" t="s">
        <v>112</v>
      </c>
      <c r="O239" s="38"/>
      <c r="P239" s="38"/>
      <c r="Q239" s="39"/>
    </row>
    <row r="240" spans="1:22" ht="12" customHeight="1" x14ac:dyDescent="0.2">
      <c r="A240" s="27">
        <v>493</v>
      </c>
      <c r="B240" s="82">
        <v>111</v>
      </c>
      <c r="C240" s="27"/>
      <c r="D240" s="29" t="s">
        <v>646</v>
      </c>
      <c r="E240" s="49"/>
      <c r="F240" s="31" t="s">
        <v>161</v>
      </c>
      <c r="G240" s="31" t="s">
        <v>24</v>
      </c>
      <c r="H240" s="29" t="s">
        <v>647</v>
      </c>
      <c r="I240" s="16"/>
      <c r="J240" s="32" t="s">
        <v>35</v>
      </c>
      <c r="K240" s="75" t="s">
        <v>35</v>
      </c>
      <c r="L240" s="34" t="str">
        <f>IF(ISNUMBER(I240), I240/150, "")</f>
        <v/>
      </c>
      <c r="M240" s="35" t="s">
        <v>112</v>
      </c>
      <c r="O240" s="38"/>
      <c r="P240" s="38"/>
      <c r="Q240" s="39"/>
    </row>
    <row r="241" spans="1:17" ht="12" customHeight="1" x14ac:dyDescent="0.2">
      <c r="A241" s="27">
        <v>494</v>
      </c>
      <c r="B241" s="82">
        <v>111</v>
      </c>
      <c r="C241" s="27"/>
      <c r="D241" s="29" t="s">
        <v>648</v>
      </c>
      <c r="E241" s="113" t="s">
        <v>66</v>
      </c>
      <c r="F241" s="31" t="s">
        <v>66</v>
      </c>
      <c r="G241" s="31" t="s">
        <v>24</v>
      </c>
      <c r="I241" s="16"/>
      <c r="J241" s="32" t="s">
        <v>35</v>
      </c>
      <c r="K241" s="75" t="s">
        <v>35</v>
      </c>
      <c r="L241" s="34" t="str">
        <f>IF(ISNUMBER(I241), I241/150, "")</f>
        <v/>
      </c>
      <c r="M241" s="35" t="s">
        <v>112</v>
      </c>
      <c r="O241" s="38"/>
      <c r="P241" s="38"/>
      <c r="Q241" s="39"/>
    </row>
    <row r="242" spans="1:17" ht="12" customHeight="1" x14ac:dyDescent="0.2">
      <c r="A242" s="27">
        <v>497</v>
      </c>
      <c r="B242" s="82">
        <v>111</v>
      </c>
      <c r="C242" s="27"/>
      <c r="D242" s="29" t="s">
        <v>649</v>
      </c>
      <c r="E242" s="49" t="s">
        <v>66</v>
      </c>
      <c r="F242" s="31" t="s">
        <v>650</v>
      </c>
      <c r="G242" s="31" t="s">
        <v>24</v>
      </c>
      <c r="H242" s="29" t="s">
        <v>651</v>
      </c>
      <c r="I242" s="16">
        <f>15000</f>
        <v>15000</v>
      </c>
      <c r="J242" s="32" t="s">
        <v>35</v>
      </c>
      <c r="K242" s="75" t="s">
        <v>35</v>
      </c>
      <c r="L242" s="34">
        <f>IF(ISNUMBER(I242), I242/150, "")</f>
        <v>100</v>
      </c>
      <c r="M242" s="35" t="s">
        <v>112</v>
      </c>
      <c r="O242" s="38"/>
      <c r="P242" s="38"/>
      <c r="Q242" s="39"/>
    </row>
    <row r="243" spans="1:17" ht="12" customHeight="1" x14ac:dyDescent="0.2">
      <c r="A243" s="27">
        <v>514</v>
      </c>
      <c r="B243" s="82">
        <v>111</v>
      </c>
      <c r="C243" s="27"/>
      <c r="D243" s="29" t="s">
        <v>652</v>
      </c>
      <c r="E243" s="49"/>
      <c r="F243" s="31" t="s">
        <v>161</v>
      </c>
      <c r="G243" s="31" t="s">
        <v>350</v>
      </c>
      <c r="H243" s="29" t="s">
        <v>652</v>
      </c>
      <c r="I243" s="16"/>
      <c r="J243" s="32" t="s">
        <v>35</v>
      </c>
      <c r="K243" s="75" t="s">
        <v>35</v>
      </c>
      <c r="L243" s="34" t="str">
        <f>IF(ISNUMBER(I243), I243/150, "")</f>
        <v/>
      </c>
      <c r="M243" s="35" t="s">
        <v>112</v>
      </c>
      <c r="O243" s="38"/>
      <c r="P243" s="38"/>
      <c r="Q243" s="39"/>
    </row>
    <row r="244" spans="1:17" ht="12" customHeight="1" x14ac:dyDescent="0.2">
      <c r="A244" s="27">
        <v>519</v>
      </c>
      <c r="B244" s="82">
        <v>111</v>
      </c>
      <c r="C244" s="27"/>
      <c r="D244" s="29" t="s">
        <v>653</v>
      </c>
      <c r="E244" s="113" t="s">
        <v>66</v>
      </c>
      <c r="F244" s="31" t="s">
        <v>66</v>
      </c>
      <c r="G244" s="31" t="s">
        <v>24</v>
      </c>
      <c r="H244" s="29" t="s">
        <v>654</v>
      </c>
      <c r="I244" s="16"/>
      <c r="J244" s="32" t="s">
        <v>35</v>
      </c>
      <c r="K244" s="75" t="s">
        <v>35</v>
      </c>
      <c r="L244" s="34" t="str">
        <f>IF(ISNUMBER(I244), I244/150, "")</f>
        <v/>
      </c>
      <c r="M244" s="35" t="s">
        <v>112</v>
      </c>
      <c r="O244" s="38"/>
      <c r="P244" s="38"/>
      <c r="Q244" s="39"/>
    </row>
    <row r="245" spans="1:17" ht="12" customHeight="1" x14ac:dyDescent="0.2">
      <c r="A245" s="27">
        <v>520</v>
      </c>
      <c r="B245" s="82">
        <v>111</v>
      </c>
      <c r="C245" s="27"/>
      <c r="D245" s="29" t="s">
        <v>655</v>
      </c>
      <c r="E245" s="113" t="s">
        <v>66</v>
      </c>
      <c r="F245" s="31" t="s">
        <v>66</v>
      </c>
      <c r="G245" s="31" t="s">
        <v>81</v>
      </c>
      <c r="H245" s="29" t="s">
        <v>656</v>
      </c>
      <c r="I245" s="16"/>
      <c r="J245" s="32" t="s">
        <v>35</v>
      </c>
      <c r="K245" s="75" t="s">
        <v>35</v>
      </c>
      <c r="L245" s="34" t="str">
        <f>IF(ISNUMBER(I245), I245/150, "")</f>
        <v/>
      </c>
      <c r="M245" s="35" t="s">
        <v>112</v>
      </c>
      <c r="O245" s="38"/>
      <c r="P245" s="38"/>
      <c r="Q245" s="39"/>
    </row>
    <row r="246" spans="1:17" ht="12" customHeight="1" x14ac:dyDescent="0.2">
      <c r="A246" s="27">
        <v>523</v>
      </c>
      <c r="B246" s="82">
        <v>111</v>
      </c>
      <c r="C246" s="27"/>
      <c r="D246" s="29" t="s">
        <v>657</v>
      </c>
      <c r="E246" s="113" t="s">
        <v>66</v>
      </c>
      <c r="F246" s="31" t="s">
        <v>658</v>
      </c>
      <c r="G246" s="31" t="s">
        <v>24</v>
      </c>
      <c r="H246" s="29" t="s">
        <v>659</v>
      </c>
      <c r="I246" s="16"/>
      <c r="J246" s="32" t="s">
        <v>35</v>
      </c>
      <c r="K246" s="75" t="s">
        <v>35</v>
      </c>
      <c r="L246" s="34" t="str">
        <f>IF(ISNUMBER(I246), I246/150, "")</f>
        <v/>
      </c>
      <c r="M246" s="35" t="s">
        <v>112</v>
      </c>
      <c r="O246" s="38"/>
      <c r="P246" s="38"/>
      <c r="Q246" s="39"/>
    </row>
    <row r="247" spans="1:17" ht="12" customHeight="1" x14ac:dyDescent="0.2">
      <c r="A247" s="27">
        <v>524</v>
      </c>
      <c r="B247" s="82">
        <v>111</v>
      </c>
      <c r="C247" s="27"/>
      <c r="D247" s="29" t="s">
        <v>660</v>
      </c>
      <c r="E247" s="113" t="s">
        <v>66</v>
      </c>
      <c r="F247" s="31" t="s">
        <v>658</v>
      </c>
      <c r="G247" s="31" t="s">
        <v>24</v>
      </c>
      <c r="H247" s="29" t="s">
        <v>661</v>
      </c>
      <c r="I247" s="16"/>
      <c r="J247" s="32" t="s">
        <v>35</v>
      </c>
      <c r="K247" s="75" t="s">
        <v>35</v>
      </c>
      <c r="L247" s="34" t="str">
        <f>IF(ISNUMBER(I247), I247/150, "")</f>
        <v/>
      </c>
      <c r="M247" s="35" t="s">
        <v>112</v>
      </c>
      <c r="O247" s="38"/>
      <c r="P247" s="38"/>
      <c r="Q247" s="39"/>
    </row>
    <row r="248" spans="1:17" ht="12" customHeight="1" x14ac:dyDescent="0.2">
      <c r="A248" s="27">
        <v>525</v>
      </c>
      <c r="B248" s="82">
        <v>111</v>
      </c>
      <c r="C248" s="27"/>
      <c r="D248" s="29" t="s">
        <v>662</v>
      </c>
      <c r="E248" s="49"/>
      <c r="F248" s="31" t="s">
        <v>39</v>
      </c>
      <c r="G248" s="31" t="s">
        <v>24</v>
      </c>
      <c r="H248" s="29" t="s">
        <v>663</v>
      </c>
      <c r="I248" s="16"/>
      <c r="J248" s="32" t="s">
        <v>35</v>
      </c>
      <c r="K248" s="75" t="s">
        <v>35</v>
      </c>
      <c r="L248" s="34" t="str">
        <f>IF(ISNUMBER(I248), I248/150, "")</f>
        <v/>
      </c>
      <c r="M248" s="35" t="s">
        <v>112</v>
      </c>
      <c r="O248" s="38"/>
      <c r="P248" s="38"/>
      <c r="Q248" s="39"/>
    </row>
    <row r="249" spans="1:17" ht="12" customHeight="1" x14ac:dyDescent="0.2">
      <c r="A249" s="27">
        <v>529</v>
      </c>
      <c r="B249" s="82">
        <v>111</v>
      </c>
      <c r="C249" s="27"/>
      <c r="D249" s="29" t="s">
        <v>664</v>
      </c>
      <c r="E249" s="49"/>
      <c r="F249" s="31" t="s">
        <v>665</v>
      </c>
      <c r="G249" s="31" t="s">
        <v>81</v>
      </c>
      <c r="H249" s="29" t="s">
        <v>666</v>
      </c>
      <c r="I249" s="16"/>
      <c r="J249" s="32" t="s">
        <v>35</v>
      </c>
      <c r="K249" s="75" t="s">
        <v>35</v>
      </c>
      <c r="L249" s="34" t="str">
        <f>IF(ISNUMBER(I249), I249/150, "")</f>
        <v/>
      </c>
      <c r="M249" s="35" t="s">
        <v>112</v>
      </c>
      <c r="N249" s="124"/>
      <c r="O249" s="145"/>
      <c r="P249" s="145"/>
      <c r="Q249" s="146"/>
    </row>
    <row r="250" spans="1:17" ht="12" customHeight="1" x14ac:dyDescent="0.2">
      <c r="A250" s="27">
        <v>530</v>
      </c>
      <c r="B250" s="82">
        <v>111</v>
      </c>
      <c r="C250" s="27"/>
      <c r="D250" s="29" t="s">
        <v>667</v>
      </c>
      <c r="E250" s="113" t="s">
        <v>66</v>
      </c>
      <c r="F250" s="31" t="s">
        <v>66</v>
      </c>
      <c r="G250" s="31" t="s">
        <v>24</v>
      </c>
      <c r="H250" s="104" t="s">
        <v>668</v>
      </c>
      <c r="I250" s="16"/>
      <c r="J250" s="32" t="s">
        <v>35</v>
      </c>
      <c r="K250" s="75" t="s">
        <v>35</v>
      </c>
      <c r="L250" s="34" t="str">
        <f>IF(ISNUMBER(I250), I250/150, "")</f>
        <v/>
      </c>
      <c r="M250" s="35" t="s">
        <v>112</v>
      </c>
      <c r="O250" s="38"/>
      <c r="P250" s="38"/>
      <c r="Q250" s="39"/>
    </row>
    <row r="251" spans="1:17" ht="12" customHeight="1" x14ac:dyDescent="0.2">
      <c r="A251" s="27">
        <v>531</v>
      </c>
      <c r="B251" s="82">
        <v>111</v>
      </c>
      <c r="C251" s="27"/>
      <c r="D251" s="29" t="s">
        <v>669</v>
      </c>
      <c r="E251" s="49"/>
      <c r="F251" s="31" t="s">
        <v>670</v>
      </c>
      <c r="G251" s="31" t="s">
        <v>24</v>
      </c>
      <c r="H251" s="29" t="s">
        <v>671</v>
      </c>
      <c r="I251" s="16"/>
      <c r="J251" s="32" t="s">
        <v>35</v>
      </c>
      <c r="K251" s="75" t="s">
        <v>35</v>
      </c>
      <c r="L251" s="34" t="str">
        <f>IF(ISNUMBER(I251), I251/150, "")</f>
        <v/>
      </c>
      <c r="M251" s="35" t="s">
        <v>112</v>
      </c>
      <c r="O251" s="38"/>
      <c r="P251" s="38"/>
      <c r="Q251" s="39"/>
    </row>
    <row r="252" spans="1:17" ht="12" customHeight="1" x14ac:dyDescent="0.2">
      <c r="A252" s="27">
        <v>536</v>
      </c>
      <c r="B252" s="82">
        <v>111</v>
      </c>
      <c r="C252" s="27"/>
      <c r="D252" s="29" t="s">
        <v>672</v>
      </c>
      <c r="E252" s="49"/>
      <c r="F252" s="31" t="s">
        <v>673</v>
      </c>
      <c r="G252" s="31" t="s">
        <v>33</v>
      </c>
      <c r="H252" s="104" t="s">
        <v>674</v>
      </c>
      <c r="I252" s="16"/>
      <c r="J252" s="32" t="s">
        <v>35</v>
      </c>
      <c r="K252" s="75" t="s">
        <v>35</v>
      </c>
      <c r="L252" s="34" t="str">
        <f>IF(ISNUMBER(I252), I252/150, "")</f>
        <v/>
      </c>
      <c r="M252" s="35" t="s">
        <v>112</v>
      </c>
      <c r="O252" s="38"/>
      <c r="P252" s="38"/>
      <c r="Q252" s="39"/>
    </row>
    <row r="253" spans="1:17" ht="12" customHeight="1" x14ac:dyDescent="0.2">
      <c r="A253" s="27">
        <v>546</v>
      </c>
      <c r="B253" s="82">
        <v>111</v>
      </c>
      <c r="C253" s="27"/>
      <c r="D253" s="29" t="s">
        <v>675</v>
      </c>
      <c r="E253" s="49"/>
      <c r="F253" s="31" t="s">
        <v>320</v>
      </c>
      <c r="G253" s="31" t="s">
        <v>24</v>
      </c>
      <c r="H253" s="29" t="s">
        <v>676</v>
      </c>
      <c r="I253" s="16"/>
      <c r="J253" s="32" t="s">
        <v>35</v>
      </c>
      <c r="K253" s="75" t="s">
        <v>35</v>
      </c>
      <c r="L253" s="34" t="str">
        <f>IF(ISNUMBER(I253), I253/150, "")</f>
        <v/>
      </c>
      <c r="M253" s="35" t="s">
        <v>112</v>
      </c>
      <c r="O253" s="38"/>
      <c r="P253" s="38"/>
      <c r="Q253" s="39"/>
    </row>
    <row r="254" spans="1:17" ht="12" customHeight="1" x14ac:dyDescent="0.2">
      <c r="A254" s="27">
        <v>552</v>
      </c>
      <c r="B254" s="82">
        <v>111</v>
      </c>
      <c r="C254" s="27"/>
      <c r="D254" s="78" t="s">
        <v>677</v>
      </c>
      <c r="E254" s="49"/>
      <c r="F254" s="31" t="s">
        <v>32</v>
      </c>
      <c r="G254" s="31" t="s">
        <v>24</v>
      </c>
      <c r="H254" s="29" t="s">
        <v>678</v>
      </c>
      <c r="I254" s="16"/>
      <c r="J254" s="32" t="s">
        <v>35</v>
      </c>
      <c r="K254" s="75" t="s">
        <v>35</v>
      </c>
      <c r="L254" s="34" t="str">
        <f>IF(ISNUMBER(I254), I254/150, "")</f>
        <v/>
      </c>
      <c r="M254" s="35" t="s">
        <v>112</v>
      </c>
      <c r="O254" s="38"/>
      <c r="P254" s="38"/>
      <c r="Q254" s="39"/>
    </row>
    <row r="255" spans="1:17" ht="12" customHeight="1" x14ac:dyDescent="0.2">
      <c r="A255" s="27">
        <v>554</v>
      </c>
      <c r="B255" s="82">
        <v>111</v>
      </c>
      <c r="C255" s="27"/>
      <c r="D255" s="78" t="s">
        <v>679</v>
      </c>
      <c r="E255" s="49"/>
      <c r="F255" s="31" t="s">
        <v>680</v>
      </c>
      <c r="G255" s="31" t="s">
        <v>24</v>
      </c>
      <c r="H255" s="29" t="s">
        <v>681</v>
      </c>
      <c r="I255" s="16">
        <v>600000</v>
      </c>
      <c r="J255" s="32" t="s">
        <v>35</v>
      </c>
      <c r="K255" s="75" t="s">
        <v>74</v>
      </c>
      <c r="L255" s="34">
        <f>IF(ISNUMBER(I255), I255/150, "")</f>
        <v>4000</v>
      </c>
      <c r="M255" s="76" t="s">
        <v>56</v>
      </c>
      <c r="N255" s="77"/>
      <c r="O255" s="35"/>
      <c r="P255" s="38"/>
      <c r="Q255" s="39"/>
    </row>
    <row r="256" spans="1:17" ht="12" customHeight="1" x14ac:dyDescent="0.2">
      <c r="A256" s="27">
        <v>566</v>
      </c>
      <c r="B256" s="82">
        <v>111</v>
      </c>
      <c r="C256" s="27"/>
      <c r="D256" s="29" t="s">
        <v>682</v>
      </c>
      <c r="E256" s="49" t="s">
        <v>683</v>
      </c>
      <c r="F256" s="31" t="s">
        <v>77</v>
      </c>
      <c r="G256" s="31" t="s">
        <v>24</v>
      </c>
      <c r="H256" s="29" t="s">
        <v>684</v>
      </c>
      <c r="I256" s="16"/>
      <c r="J256" s="32" t="s">
        <v>35</v>
      </c>
      <c r="K256" s="75" t="s">
        <v>35</v>
      </c>
      <c r="L256" s="34" t="str">
        <f>IF(ISNUMBER(I256), I256/150, "")</f>
        <v/>
      </c>
      <c r="M256" s="35" t="s">
        <v>112</v>
      </c>
      <c r="O256" s="38"/>
      <c r="P256" s="38"/>
      <c r="Q256" s="39"/>
    </row>
    <row r="257" spans="1:21" ht="12" customHeight="1" x14ac:dyDescent="0.2">
      <c r="A257" s="27">
        <v>569</v>
      </c>
      <c r="B257" s="82">
        <v>111</v>
      </c>
      <c r="C257" s="27"/>
      <c r="D257" s="29" t="s">
        <v>685</v>
      </c>
      <c r="E257" s="49"/>
      <c r="F257" s="31" t="s">
        <v>161</v>
      </c>
      <c r="G257" s="31" t="s">
        <v>24</v>
      </c>
      <c r="H257" s="29" t="s">
        <v>686</v>
      </c>
      <c r="I257" s="16"/>
      <c r="J257" s="32" t="s">
        <v>35</v>
      </c>
      <c r="K257" s="75" t="s">
        <v>35</v>
      </c>
      <c r="L257" s="34" t="str">
        <f>IF(ISNUMBER(I257), I257/150, "")</f>
        <v/>
      </c>
      <c r="M257" s="35" t="s">
        <v>112</v>
      </c>
      <c r="O257" s="38"/>
      <c r="P257" s="38"/>
      <c r="Q257" s="39"/>
    </row>
    <row r="258" spans="1:21" ht="12" customHeight="1" x14ac:dyDescent="0.2">
      <c r="A258" s="27">
        <v>570</v>
      </c>
      <c r="B258" s="82">
        <v>111</v>
      </c>
      <c r="C258" s="27"/>
      <c r="D258" s="29" t="s">
        <v>687</v>
      </c>
      <c r="E258" s="49"/>
      <c r="F258" s="31" t="s">
        <v>32</v>
      </c>
      <c r="G258" s="31" t="s">
        <v>24</v>
      </c>
      <c r="H258" s="29" t="s">
        <v>688</v>
      </c>
      <c r="I258" s="16"/>
      <c r="J258" s="32" t="s">
        <v>35</v>
      </c>
      <c r="K258" s="75" t="s">
        <v>35</v>
      </c>
      <c r="L258" s="34" t="str">
        <f>IF(ISNUMBER(I258), I258/150, "")</f>
        <v/>
      </c>
      <c r="M258" s="35" t="s">
        <v>112</v>
      </c>
      <c r="O258" s="38"/>
      <c r="P258" s="38"/>
      <c r="Q258" s="39"/>
    </row>
    <row r="259" spans="1:21" ht="12" customHeight="1" x14ac:dyDescent="0.2">
      <c r="A259" s="27">
        <v>578</v>
      </c>
      <c r="B259" s="82">
        <v>111</v>
      </c>
      <c r="C259" s="27"/>
      <c r="D259" s="29" t="s">
        <v>689</v>
      </c>
      <c r="E259" s="49"/>
      <c r="F259" s="31" t="s">
        <v>690</v>
      </c>
      <c r="G259" s="31" t="s">
        <v>24</v>
      </c>
      <c r="H259" s="29" t="s">
        <v>691</v>
      </c>
      <c r="I259" s="16"/>
      <c r="J259" s="32" t="s">
        <v>35</v>
      </c>
      <c r="K259" s="75" t="s">
        <v>124</v>
      </c>
      <c r="L259" s="34" t="str">
        <f>IF(ISNUMBER(I259), I259/150, "")</f>
        <v/>
      </c>
      <c r="M259" s="35" t="s">
        <v>112</v>
      </c>
      <c r="O259" s="38"/>
      <c r="P259" s="38"/>
      <c r="Q259" s="39"/>
    </row>
    <row r="260" spans="1:21" ht="12" customHeight="1" x14ac:dyDescent="0.2">
      <c r="A260" s="27">
        <v>580</v>
      </c>
      <c r="B260" s="82">
        <v>111</v>
      </c>
      <c r="C260" s="27"/>
      <c r="D260" s="29" t="s">
        <v>692</v>
      </c>
      <c r="E260" s="113" t="s">
        <v>66</v>
      </c>
      <c r="F260" s="31" t="s">
        <v>66</v>
      </c>
      <c r="G260" s="31" t="s">
        <v>24</v>
      </c>
      <c r="H260" s="29" t="s">
        <v>693</v>
      </c>
      <c r="I260" s="16"/>
      <c r="J260" s="32" t="s">
        <v>35</v>
      </c>
      <c r="K260" s="75" t="s">
        <v>35</v>
      </c>
      <c r="L260" s="34" t="str">
        <f>IF(ISNUMBER(I260), I260/150, "")</f>
        <v/>
      </c>
      <c r="M260" s="35" t="s">
        <v>112</v>
      </c>
      <c r="O260" s="38"/>
      <c r="P260" s="38"/>
      <c r="Q260" s="39"/>
    </row>
    <row r="261" spans="1:21" ht="12" customHeight="1" x14ac:dyDescent="0.2">
      <c r="A261" s="53">
        <v>581</v>
      </c>
      <c r="B261" s="82">
        <v>111</v>
      </c>
      <c r="C261" s="53"/>
      <c r="D261" s="29" t="s">
        <v>694</v>
      </c>
      <c r="E261" s="55" t="s">
        <v>354</v>
      </c>
      <c r="F261" s="147" t="s">
        <v>320</v>
      </c>
      <c r="G261" s="46" t="s">
        <v>24</v>
      </c>
      <c r="H261" s="29" t="s">
        <v>695</v>
      </c>
      <c r="I261" s="16"/>
      <c r="J261" s="32" t="s">
        <v>35</v>
      </c>
      <c r="K261" s="75" t="s">
        <v>35</v>
      </c>
      <c r="L261" s="34" t="str">
        <f>IF(ISNUMBER(I261), I261/150, "")</f>
        <v/>
      </c>
      <c r="M261" s="35" t="s">
        <v>112</v>
      </c>
      <c r="N261" s="77"/>
      <c r="O261" s="121"/>
      <c r="P261" s="38"/>
      <c r="Q261" s="39"/>
    </row>
    <row r="262" spans="1:21" ht="12" customHeight="1" x14ac:dyDescent="0.2">
      <c r="A262" s="27">
        <v>593</v>
      </c>
      <c r="B262" s="82">
        <v>111</v>
      </c>
      <c r="C262" s="27"/>
      <c r="D262" s="29" t="s">
        <v>696</v>
      </c>
      <c r="E262" s="113" t="s">
        <v>66</v>
      </c>
      <c r="F262" s="31" t="s">
        <v>66</v>
      </c>
      <c r="G262" s="31" t="s">
        <v>24</v>
      </c>
      <c r="H262" s="29" t="s">
        <v>697</v>
      </c>
      <c r="I262" s="16"/>
      <c r="J262" s="32" t="s">
        <v>35</v>
      </c>
      <c r="K262" s="75" t="s">
        <v>35</v>
      </c>
      <c r="L262" s="34" t="str">
        <f>IF(ISNUMBER(I262), I262/150, "")</f>
        <v/>
      </c>
      <c r="M262" s="35" t="s">
        <v>627</v>
      </c>
      <c r="O262" s="38"/>
      <c r="P262" s="38"/>
      <c r="Q262" s="39"/>
    </row>
    <row r="263" spans="1:21" ht="12" customHeight="1" x14ac:dyDescent="0.2">
      <c r="A263" s="27">
        <v>597</v>
      </c>
      <c r="B263" s="82">
        <v>111</v>
      </c>
      <c r="C263" s="27"/>
      <c r="D263" s="89" t="s">
        <v>698</v>
      </c>
      <c r="E263" s="49"/>
      <c r="F263" s="147" t="s">
        <v>699</v>
      </c>
      <c r="G263" s="31" t="s">
        <v>24</v>
      </c>
      <c r="H263" s="29" t="s">
        <v>700</v>
      </c>
      <c r="I263" s="16"/>
      <c r="J263" s="90" t="s">
        <v>35</v>
      </c>
      <c r="K263" s="75" t="s">
        <v>701</v>
      </c>
      <c r="L263" s="34" t="str">
        <f>IF(ISNUMBER(I263), I263/150, "")</f>
        <v/>
      </c>
      <c r="M263" s="35" t="s">
        <v>112</v>
      </c>
      <c r="N263" s="77"/>
      <c r="O263" s="121"/>
      <c r="P263" s="125"/>
      <c r="Q263" s="126"/>
      <c r="R263" s="123"/>
      <c r="S263" s="123"/>
      <c r="T263" s="123"/>
      <c r="U263" s="123"/>
    </row>
    <row r="264" spans="1:21" ht="12" customHeight="1" x14ac:dyDescent="0.2">
      <c r="A264" s="27">
        <v>602</v>
      </c>
      <c r="B264" s="82">
        <v>111</v>
      </c>
      <c r="C264" s="27"/>
      <c r="D264" s="29" t="s">
        <v>702</v>
      </c>
      <c r="E264" s="49"/>
      <c r="F264" s="31" t="s">
        <v>703</v>
      </c>
      <c r="G264" s="31" t="s">
        <v>24</v>
      </c>
      <c r="H264" s="29" t="s">
        <v>704</v>
      </c>
      <c r="I264" s="16">
        <f>600000+40635+25000</f>
        <v>665635</v>
      </c>
      <c r="J264" s="32" t="s">
        <v>35</v>
      </c>
      <c r="K264" s="75" t="s">
        <v>35</v>
      </c>
      <c r="L264" s="34">
        <f>IF(ISNUMBER(I264), I264/150, "")</f>
        <v>4437.5666666666666</v>
      </c>
      <c r="M264" s="35" t="s">
        <v>112</v>
      </c>
      <c r="N264" s="124"/>
      <c r="O264" s="148"/>
      <c r="P264" s="148"/>
      <c r="Q264" s="149"/>
    </row>
    <row r="265" spans="1:21" ht="12" customHeight="1" x14ac:dyDescent="0.2">
      <c r="A265" s="27">
        <v>604</v>
      </c>
      <c r="B265" s="82">
        <v>111</v>
      </c>
      <c r="C265" s="27"/>
      <c r="D265" s="29" t="s">
        <v>705</v>
      </c>
      <c r="E265" s="49" t="s">
        <v>706</v>
      </c>
      <c r="F265" s="31" t="s">
        <v>707</v>
      </c>
      <c r="G265" s="31" t="s">
        <v>24</v>
      </c>
      <c r="H265" s="29" t="s">
        <v>708</v>
      </c>
      <c r="I265" s="16">
        <v>27675</v>
      </c>
      <c r="J265" s="32" t="s">
        <v>35</v>
      </c>
      <c r="K265" s="75" t="s">
        <v>35</v>
      </c>
      <c r="L265" s="34">
        <f>IF(ISNUMBER(I265), I265/150, "")</f>
        <v>184.5</v>
      </c>
      <c r="M265" s="35" t="s">
        <v>112</v>
      </c>
      <c r="O265" s="38"/>
      <c r="P265" s="38"/>
      <c r="Q265" s="39"/>
    </row>
    <row r="266" spans="1:21" ht="12" customHeight="1" x14ac:dyDescent="0.2">
      <c r="A266" s="65">
        <v>606</v>
      </c>
      <c r="B266" s="82">
        <v>111</v>
      </c>
      <c r="D266" s="29" t="s">
        <v>709</v>
      </c>
      <c r="E266" s="30" t="s">
        <v>80</v>
      </c>
      <c r="F266" s="31" t="s">
        <v>161</v>
      </c>
      <c r="G266" s="50" t="s">
        <v>24</v>
      </c>
      <c r="H266" s="29" t="s">
        <v>710</v>
      </c>
      <c r="I266" s="16"/>
      <c r="J266" s="32" t="s">
        <v>35</v>
      </c>
      <c r="K266" s="75" t="s">
        <v>35</v>
      </c>
      <c r="L266" s="34" t="str">
        <f>IF(ISNUMBER(I266), I266/150, "")</f>
        <v/>
      </c>
      <c r="M266" s="35" t="s">
        <v>112</v>
      </c>
    </row>
    <row r="267" spans="1:21" ht="12" customHeight="1" x14ac:dyDescent="0.2">
      <c r="A267" s="65">
        <v>607</v>
      </c>
      <c r="B267" s="82">
        <v>111</v>
      </c>
      <c r="D267" s="29" t="s">
        <v>711</v>
      </c>
      <c r="F267" s="31" t="s">
        <v>228</v>
      </c>
      <c r="G267" s="31" t="s">
        <v>251</v>
      </c>
      <c r="H267" s="29" t="s">
        <v>712</v>
      </c>
      <c r="I267" s="16"/>
      <c r="J267" s="32" t="s">
        <v>35</v>
      </c>
      <c r="K267" s="75" t="s">
        <v>35</v>
      </c>
      <c r="L267" s="34" t="str">
        <f>IF(ISNUMBER(I267), I267/150, "")</f>
        <v/>
      </c>
      <c r="M267" s="35" t="s">
        <v>112</v>
      </c>
    </row>
    <row r="268" spans="1:21" ht="12" customHeight="1" x14ac:dyDescent="0.2">
      <c r="A268" s="65">
        <v>622</v>
      </c>
      <c r="B268" s="82">
        <v>111</v>
      </c>
      <c r="D268" s="29" t="s">
        <v>713</v>
      </c>
      <c r="F268" s="31" t="s">
        <v>714</v>
      </c>
      <c r="G268" s="50" t="s">
        <v>24</v>
      </c>
      <c r="H268" s="29" t="s">
        <v>715</v>
      </c>
      <c r="I268" s="16">
        <f>150000</f>
        <v>150000</v>
      </c>
      <c r="J268" s="32" t="s">
        <v>35</v>
      </c>
      <c r="K268" s="75" t="s">
        <v>35</v>
      </c>
      <c r="L268" s="34">
        <f>IF(ISNUMBER(I268), I268/150, "")</f>
        <v>1000</v>
      </c>
      <c r="M268" s="35" t="s">
        <v>112</v>
      </c>
    </row>
    <row r="269" spans="1:21" ht="12" customHeight="1" x14ac:dyDescent="0.2">
      <c r="A269" s="65">
        <v>623</v>
      </c>
      <c r="B269" s="82">
        <v>111</v>
      </c>
      <c r="D269" s="29" t="s">
        <v>716</v>
      </c>
      <c r="F269" s="31" t="s">
        <v>717</v>
      </c>
      <c r="G269" s="50" t="s">
        <v>24</v>
      </c>
      <c r="H269" s="29" t="s">
        <v>718</v>
      </c>
      <c r="I269" s="16"/>
      <c r="J269" s="32" t="s">
        <v>35</v>
      </c>
      <c r="K269" s="75" t="s">
        <v>35</v>
      </c>
      <c r="L269" s="34" t="str">
        <f>IF(ISNUMBER(I269), I269/150, "")</f>
        <v/>
      </c>
      <c r="M269" s="35" t="s">
        <v>112</v>
      </c>
    </row>
    <row r="270" spans="1:21" ht="12" customHeight="1" x14ac:dyDescent="0.2">
      <c r="A270" s="65">
        <v>629</v>
      </c>
      <c r="B270" s="82">
        <v>111</v>
      </c>
      <c r="D270" s="29" t="s">
        <v>719</v>
      </c>
      <c r="F270" s="31" t="s">
        <v>720</v>
      </c>
      <c r="G270" s="50" t="s">
        <v>24</v>
      </c>
      <c r="H270" s="29" t="s">
        <v>721</v>
      </c>
      <c r="I270" s="16"/>
      <c r="J270" s="32" t="s">
        <v>35</v>
      </c>
      <c r="K270" s="75" t="s">
        <v>35</v>
      </c>
      <c r="L270" s="34" t="str">
        <f>IF(ISNUMBER(I270), I270/150, "")</f>
        <v/>
      </c>
      <c r="M270" s="35" t="s">
        <v>112</v>
      </c>
    </row>
    <row r="271" spans="1:21" ht="12" customHeight="1" x14ac:dyDescent="0.2">
      <c r="A271" s="65">
        <v>630</v>
      </c>
      <c r="B271" s="82">
        <v>111</v>
      </c>
      <c r="D271" s="29" t="s">
        <v>722</v>
      </c>
      <c r="F271" s="31" t="s">
        <v>723</v>
      </c>
      <c r="G271" s="50" t="s">
        <v>24</v>
      </c>
      <c r="H271" s="29" t="s">
        <v>724</v>
      </c>
      <c r="I271" s="16"/>
      <c r="J271" s="32" t="s">
        <v>35</v>
      </c>
      <c r="K271" s="75" t="s">
        <v>35</v>
      </c>
      <c r="L271" s="34" t="str">
        <f>IF(ISNUMBER(I271), I271/150, "")</f>
        <v/>
      </c>
      <c r="M271" s="35" t="s">
        <v>112</v>
      </c>
    </row>
    <row r="272" spans="1:21" ht="12" customHeight="1" x14ac:dyDescent="0.2">
      <c r="A272" s="65">
        <v>631</v>
      </c>
      <c r="B272" s="82">
        <v>111</v>
      </c>
      <c r="D272" s="29" t="s">
        <v>725</v>
      </c>
      <c r="F272" s="31" t="s">
        <v>726</v>
      </c>
      <c r="G272" s="50" t="s">
        <v>24</v>
      </c>
      <c r="H272" s="29" t="s">
        <v>727</v>
      </c>
      <c r="I272" s="16"/>
      <c r="J272" s="32" t="s">
        <v>35</v>
      </c>
      <c r="K272" s="75" t="s">
        <v>35</v>
      </c>
      <c r="L272" s="34" t="str">
        <f>IF(ISNUMBER(I272), I272/150, "")</f>
        <v/>
      </c>
      <c r="M272" s="35" t="s">
        <v>112</v>
      </c>
    </row>
    <row r="273" spans="1:21" ht="12" customHeight="1" x14ac:dyDescent="0.2">
      <c r="A273" s="53">
        <v>639</v>
      </c>
      <c r="B273" s="82">
        <v>111</v>
      </c>
      <c r="C273" s="53"/>
      <c r="D273" s="29" t="s">
        <v>728</v>
      </c>
      <c r="E273" s="55"/>
      <c r="F273" s="147" t="s">
        <v>729</v>
      </c>
      <c r="G273" s="46" t="s">
        <v>33</v>
      </c>
      <c r="H273" s="29" t="s">
        <v>730</v>
      </c>
      <c r="I273" s="16">
        <f>50250+348750+22000+70104</f>
        <v>491104</v>
      </c>
      <c r="J273" s="32" t="s">
        <v>124</v>
      </c>
      <c r="K273" s="75"/>
      <c r="L273" s="34">
        <f>IF(ISNUMBER(I273), I273/150, "")</f>
        <v>3274.0266666666666</v>
      </c>
      <c r="M273" s="35" t="s">
        <v>112</v>
      </c>
      <c r="O273" s="35"/>
      <c r="P273" s="35"/>
      <c r="Q273" s="56"/>
    </row>
    <row r="274" spans="1:21" ht="12" customHeight="1" x14ac:dyDescent="0.2">
      <c r="A274" s="65">
        <v>648</v>
      </c>
      <c r="B274" s="82">
        <v>111</v>
      </c>
      <c r="D274" s="29" t="s">
        <v>731</v>
      </c>
      <c r="F274" s="31" t="s">
        <v>732</v>
      </c>
      <c r="G274" s="50" t="s">
        <v>24</v>
      </c>
      <c r="H274" s="29" t="s">
        <v>733</v>
      </c>
      <c r="I274" s="16"/>
      <c r="J274" s="32" t="s">
        <v>35</v>
      </c>
      <c r="K274" s="75" t="s">
        <v>35</v>
      </c>
      <c r="L274" s="34" t="str">
        <f>IF(ISNUMBER(I274), I274/150, "")</f>
        <v/>
      </c>
      <c r="M274" s="35" t="s">
        <v>112</v>
      </c>
      <c r="P274" s="68" t="s">
        <v>734</v>
      </c>
      <c r="Q274" s="69">
        <v>46094</v>
      </c>
    </row>
    <row r="275" spans="1:21" ht="12" customHeight="1" x14ac:dyDescent="0.2">
      <c r="A275" s="65">
        <v>649</v>
      </c>
      <c r="B275" s="82">
        <v>111</v>
      </c>
      <c r="D275" s="29" t="s">
        <v>735</v>
      </c>
      <c r="E275" s="113" t="s">
        <v>66</v>
      </c>
      <c r="F275" s="31" t="s">
        <v>66</v>
      </c>
      <c r="G275" s="50" t="s">
        <v>24</v>
      </c>
      <c r="H275" s="29" t="s">
        <v>736</v>
      </c>
      <c r="I275" s="16"/>
      <c r="J275" s="32" t="s">
        <v>35</v>
      </c>
      <c r="K275" s="75" t="s">
        <v>35</v>
      </c>
      <c r="L275" s="34" t="str">
        <f>IF(ISNUMBER(I275), I275/150, "")</f>
        <v/>
      </c>
      <c r="M275" s="35" t="s">
        <v>627</v>
      </c>
      <c r="P275" s="68" t="s">
        <v>737</v>
      </c>
      <c r="Q275" s="69">
        <v>46099</v>
      </c>
    </row>
    <row r="276" spans="1:21" ht="12" customHeight="1" x14ac:dyDescent="0.2">
      <c r="A276" s="65">
        <v>656</v>
      </c>
      <c r="B276" s="82">
        <v>111</v>
      </c>
      <c r="D276" s="29" t="s">
        <v>738</v>
      </c>
      <c r="E276" s="113" t="s">
        <v>66</v>
      </c>
      <c r="F276" s="31" t="s">
        <v>66</v>
      </c>
      <c r="G276" s="55" t="s">
        <v>24</v>
      </c>
      <c r="H276" s="29" t="s">
        <v>739</v>
      </c>
      <c r="I276" s="16"/>
      <c r="J276" s="32" t="s">
        <v>35</v>
      </c>
      <c r="K276" s="75" t="s">
        <v>35</v>
      </c>
      <c r="L276" s="34" t="str">
        <f>IF(ISNUMBER(I276), I276/150, "")</f>
        <v/>
      </c>
      <c r="M276" s="35" t="s">
        <v>112</v>
      </c>
      <c r="P276" s="68" t="s">
        <v>740</v>
      </c>
    </row>
    <row r="277" spans="1:21" ht="12" customHeight="1" x14ac:dyDescent="0.2">
      <c r="A277" s="65">
        <v>658</v>
      </c>
      <c r="B277" s="82">
        <v>111</v>
      </c>
      <c r="D277" s="29" t="s">
        <v>741</v>
      </c>
      <c r="F277" s="31" t="s">
        <v>371</v>
      </c>
      <c r="G277" s="50" t="s">
        <v>24</v>
      </c>
      <c r="H277" s="29" t="s">
        <v>742</v>
      </c>
      <c r="I277" s="16">
        <f>50000</f>
        <v>50000</v>
      </c>
      <c r="J277" s="32" t="s">
        <v>35</v>
      </c>
      <c r="K277" s="75" t="s">
        <v>35</v>
      </c>
      <c r="L277" s="34">
        <f>IF(ISNUMBER(I277), I277/150, "")</f>
        <v>333.33333333333331</v>
      </c>
      <c r="M277" s="35" t="s">
        <v>112</v>
      </c>
      <c r="P277" s="68" t="s">
        <v>225</v>
      </c>
      <c r="Q277" s="69">
        <v>46118</v>
      </c>
      <c r="R277" s="142"/>
      <c r="S277" s="142"/>
      <c r="T277" s="142"/>
      <c r="U277" s="142"/>
    </row>
    <row r="278" spans="1:21" ht="12" customHeight="1" x14ac:dyDescent="0.2">
      <c r="A278" s="65">
        <v>667</v>
      </c>
      <c r="B278" s="82">
        <v>111</v>
      </c>
      <c r="D278" s="29" t="s">
        <v>743</v>
      </c>
      <c r="F278" s="31" t="s">
        <v>650</v>
      </c>
      <c r="G278" s="50" t="s">
        <v>24</v>
      </c>
      <c r="H278" s="29" t="s">
        <v>744</v>
      </c>
      <c r="I278" s="16">
        <f>35000</f>
        <v>35000</v>
      </c>
      <c r="J278" s="32" t="s">
        <v>35</v>
      </c>
      <c r="K278" s="75" t="s">
        <v>35</v>
      </c>
      <c r="L278" s="34">
        <f>IF(ISNUMBER(I278), I278/150, "")</f>
        <v>233.33333333333334</v>
      </c>
      <c r="M278" s="35" t="s">
        <v>112</v>
      </c>
      <c r="P278" s="68" t="s">
        <v>178</v>
      </c>
      <c r="Q278" s="69">
        <v>46135</v>
      </c>
    </row>
    <row r="279" spans="1:21" ht="12" customHeight="1" x14ac:dyDescent="0.2">
      <c r="A279" s="65">
        <v>668</v>
      </c>
      <c r="B279" s="82">
        <v>111</v>
      </c>
      <c r="D279" s="29" t="s">
        <v>745</v>
      </c>
      <c r="E279" s="113" t="s">
        <v>66</v>
      </c>
      <c r="F279" s="31" t="s">
        <v>66</v>
      </c>
      <c r="G279" s="50" t="s">
        <v>24</v>
      </c>
      <c r="H279" s="29" t="s">
        <v>746</v>
      </c>
      <c r="I279" s="16">
        <v>49200</v>
      </c>
      <c r="J279" s="32" t="s">
        <v>35</v>
      </c>
      <c r="K279" s="75" t="s">
        <v>35</v>
      </c>
      <c r="L279" s="34">
        <f>IF(ISNUMBER(I279), I279/150, "")</f>
        <v>328</v>
      </c>
      <c r="M279" s="35" t="s">
        <v>112</v>
      </c>
      <c r="P279" s="68" t="s">
        <v>740</v>
      </c>
      <c r="Q279" s="69">
        <v>46139</v>
      </c>
    </row>
    <row r="280" spans="1:21" ht="12" customHeight="1" x14ac:dyDescent="0.2">
      <c r="A280" s="66">
        <v>669</v>
      </c>
      <c r="B280" s="82">
        <v>111</v>
      </c>
      <c r="C280" s="66"/>
      <c r="D280" s="13" t="s">
        <v>747</v>
      </c>
      <c r="E280" s="14"/>
      <c r="F280" s="15" t="s">
        <v>341</v>
      </c>
      <c r="G280" s="24" t="s">
        <v>24</v>
      </c>
      <c r="H280" s="13" t="s">
        <v>748</v>
      </c>
      <c r="I280" s="16">
        <f>25000</f>
        <v>25000</v>
      </c>
      <c r="J280" s="137" t="s">
        <v>35</v>
      </c>
      <c r="K280" s="75" t="s">
        <v>35</v>
      </c>
      <c r="L280" s="34">
        <f>IF(ISNUMBER(I280), I280/150, "")</f>
        <v>166.66666666666666</v>
      </c>
      <c r="M280" s="138" t="s">
        <v>112</v>
      </c>
      <c r="N280" s="139"/>
      <c r="O280" s="123"/>
      <c r="P280" s="123" t="s">
        <v>178</v>
      </c>
      <c r="Q280" s="150">
        <v>46141</v>
      </c>
    </row>
    <row r="281" spans="1:21" ht="12" customHeight="1" x14ac:dyDescent="0.2">
      <c r="A281" s="65">
        <v>671</v>
      </c>
      <c r="B281" s="82">
        <v>111</v>
      </c>
      <c r="D281" s="29" t="s">
        <v>749</v>
      </c>
      <c r="F281" s="31" t="s">
        <v>361</v>
      </c>
      <c r="G281" s="50" t="s">
        <v>24</v>
      </c>
      <c r="H281" s="29" t="s">
        <v>750</v>
      </c>
      <c r="J281" s="32" t="s">
        <v>35</v>
      </c>
      <c r="K281" s="75" t="s">
        <v>35</v>
      </c>
      <c r="L281" s="34" t="str">
        <f>IF(ISNUMBER(I281), I281/150, "")</f>
        <v/>
      </c>
      <c r="M281" s="35" t="s">
        <v>112</v>
      </c>
      <c r="P281" s="68" t="s">
        <v>45</v>
      </c>
      <c r="Q281" s="69">
        <v>46142</v>
      </c>
    </row>
    <row r="282" spans="1:21" ht="12" customHeight="1" x14ac:dyDescent="0.2">
      <c r="A282" s="65">
        <v>672</v>
      </c>
      <c r="B282" s="82">
        <v>111</v>
      </c>
      <c r="D282" s="151" t="s">
        <v>751</v>
      </c>
      <c r="F282" s="91" t="s">
        <v>752</v>
      </c>
      <c r="G282" s="152" t="s">
        <v>24</v>
      </c>
      <c r="H282" s="29" t="s">
        <v>753</v>
      </c>
      <c r="I282" s="16">
        <f>50000</f>
        <v>50000</v>
      </c>
      <c r="J282" s="32" t="s">
        <v>35</v>
      </c>
      <c r="K282" s="75" t="s">
        <v>35</v>
      </c>
      <c r="L282" s="34">
        <f>IF(ISNUMBER(I282), I282/150, "")</f>
        <v>333.33333333333331</v>
      </c>
      <c r="M282" s="35" t="s">
        <v>112</v>
      </c>
      <c r="P282" s="68" t="s">
        <v>178</v>
      </c>
      <c r="Q282" s="69">
        <v>46143</v>
      </c>
    </row>
    <row r="283" spans="1:21" ht="12" customHeight="1" x14ac:dyDescent="0.2">
      <c r="A283" s="65">
        <v>673</v>
      </c>
      <c r="B283" s="82">
        <v>111</v>
      </c>
      <c r="D283" s="153" t="s">
        <v>754</v>
      </c>
      <c r="F283" s="31" t="s">
        <v>755</v>
      </c>
      <c r="G283" s="50" t="s">
        <v>24</v>
      </c>
      <c r="H283" s="29" t="s">
        <v>756</v>
      </c>
      <c r="I283" s="16">
        <f>10000</f>
        <v>10000</v>
      </c>
      <c r="J283" s="32" t="s">
        <v>35</v>
      </c>
      <c r="K283" s="75" t="s">
        <v>35</v>
      </c>
      <c r="L283" s="34">
        <f>IF(ISNUMBER(I283), I283/150, "")</f>
        <v>66.666666666666671</v>
      </c>
      <c r="M283" s="35" t="s">
        <v>112</v>
      </c>
      <c r="P283" s="68" t="s">
        <v>178</v>
      </c>
      <c r="Q283" s="69">
        <v>46143</v>
      </c>
    </row>
    <row r="284" spans="1:21" ht="12" customHeight="1" x14ac:dyDescent="0.2">
      <c r="A284" s="65">
        <v>674</v>
      </c>
      <c r="B284" s="82">
        <v>111</v>
      </c>
      <c r="D284" s="153" t="s">
        <v>757</v>
      </c>
      <c r="F284" s="31" t="s">
        <v>341</v>
      </c>
      <c r="G284" s="50" t="s">
        <v>24</v>
      </c>
      <c r="H284" s="29" t="s">
        <v>758</v>
      </c>
      <c r="I284" s="16">
        <v>20000</v>
      </c>
      <c r="J284" s="32" t="s">
        <v>35</v>
      </c>
      <c r="K284" s="75" t="s">
        <v>35</v>
      </c>
      <c r="L284" s="34">
        <f>IF(ISNUMBER(I284), I284/150, "")</f>
        <v>133.33333333333334</v>
      </c>
      <c r="M284" s="35" t="s">
        <v>112</v>
      </c>
      <c r="P284" s="68" t="s">
        <v>178</v>
      </c>
      <c r="Q284" s="69">
        <v>46143</v>
      </c>
    </row>
    <row r="285" spans="1:21" ht="12" customHeight="1" x14ac:dyDescent="0.2">
      <c r="A285" s="65">
        <v>675</v>
      </c>
      <c r="B285" s="82">
        <v>111</v>
      </c>
      <c r="D285" s="154" t="s">
        <v>759</v>
      </c>
      <c r="F285" s="31" t="s">
        <v>341</v>
      </c>
      <c r="G285" s="50" t="s">
        <v>24</v>
      </c>
      <c r="H285" s="29" t="s">
        <v>760</v>
      </c>
      <c r="I285" s="16">
        <v>15000</v>
      </c>
      <c r="J285" s="32" t="s">
        <v>35</v>
      </c>
      <c r="K285" s="75" t="s">
        <v>35</v>
      </c>
      <c r="L285" s="34">
        <f>IF(ISNUMBER(I285), I285/150, "")</f>
        <v>100</v>
      </c>
      <c r="M285" s="35" t="s">
        <v>112</v>
      </c>
      <c r="P285" s="68" t="s">
        <v>178</v>
      </c>
      <c r="Q285" s="69">
        <v>46143</v>
      </c>
    </row>
    <row r="286" spans="1:21" ht="12" customHeight="1" x14ac:dyDescent="0.2">
      <c r="A286" s="65">
        <v>676</v>
      </c>
      <c r="B286" s="82">
        <v>111</v>
      </c>
      <c r="D286" s="154" t="s">
        <v>761</v>
      </c>
      <c r="F286" s="31" t="s">
        <v>341</v>
      </c>
      <c r="G286" s="50" t="s">
        <v>24</v>
      </c>
      <c r="H286" s="29" t="s">
        <v>762</v>
      </c>
      <c r="I286" s="16">
        <v>7500</v>
      </c>
      <c r="J286" s="32" t="s">
        <v>35</v>
      </c>
      <c r="K286" s="75" t="s">
        <v>35</v>
      </c>
      <c r="L286" s="34">
        <f>IF(ISNUMBER(I286), I286/150, "")</f>
        <v>50</v>
      </c>
      <c r="M286" s="35" t="s">
        <v>112</v>
      </c>
      <c r="P286" s="68" t="s">
        <v>178</v>
      </c>
      <c r="Q286" s="69">
        <v>46143</v>
      </c>
    </row>
    <row r="287" spans="1:21" ht="12" customHeight="1" x14ac:dyDescent="0.2">
      <c r="A287" s="65">
        <v>677</v>
      </c>
      <c r="B287" s="82">
        <v>111</v>
      </c>
      <c r="D287" s="154" t="s">
        <v>763</v>
      </c>
      <c r="F287" s="31" t="s">
        <v>341</v>
      </c>
      <c r="G287" s="50" t="s">
        <v>24</v>
      </c>
      <c r="H287" s="29" t="s">
        <v>764</v>
      </c>
      <c r="I287" s="16">
        <v>5000</v>
      </c>
      <c r="J287" s="32" t="s">
        <v>35</v>
      </c>
      <c r="K287" s="75" t="s">
        <v>35</v>
      </c>
      <c r="L287" s="34">
        <f>IF(ISNUMBER(I287), I287/150, "")</f>
        <v>33.333333333333336</v>
      </c>
      <c r="M287" s="35" t="s">
        <v>112</v>
      </c>
      <c r="P287" s="68" t="s">
        <v>178</v>
      </c>
      <c r="Q287" s="69">
        <v>46143</v>
      </c>
    </row>
    <row r="288" spans="1:21" ht="12" customHeight="1" x14ac:dyDescent="0.2">
      <c r="A288" s="65">
        <v>678</v>
      </c>
      <c r="B288" s="82">
        <v>111</v>
      </c>
      <c r="D288" s="154" t="s">
        <v>765</v>
      </c>
      <c r="F288" s="31" t="s">
        <v>341</v>
      </c>
      <c r="G288" s="50" t="s">
        <v>24</v>
      </c>
      <c r="H288" s="29" t="s">
        <v>766</v>
      </c>
      <c r="I288" s="16">
        <v>50000</v>
      </c>
      <c r="J288" s="32" t="s">
        <v>35</v>
      </c>
      <c r="K288" s="75" t="s">
        <v>35</v>
      </c>
      <c r="L288" s="34">
        <f>IF(ISNUMBER(I288), I288/150, "")</f>
        <v>333.33333333333331</v>
      </c>
      <c r="M288" s="35" t="s">
        <v>112</v>
      </c>
      <c r="P288" s="68" t="s">
        <v>178</v>
      </c>
      <c r="Q288" s="69">
        <v>46143</v>
      </c>
    </row>
    <row r="289" spans="1:22" ht="12" customHeight="1" x14ac:dyDescent="0.2">
      <c r="A289" s="65">
        <v>679</v>
      </c>
      <c r="B289" s="82">
        <v>111</v>
      </c>
      <c r="D289" s="154" t="s">
        <v>767</v>
      </c>
      <c r="F289" s="31" t="s">
        <v>341</v>
      </c>
      <c r="G289" s="50" t="s">
        <v>24</v>
      </c>
      <c r="H289" s="29" t="s">
        <v>768</v>
      </c>
      <c r="I289" s="16">
        <v>50000</v>
      </c>
      <c r="J289" s="32" t="s">
        <v>35</v>
      </c>
      <c r="K289" s="75" t="s">
        <v>35</v>
      </c>
      <c r="L289" s="34">
        <f>IF(ISNUMBER(I289), I289/150, "")</f>
        <v>333.33333333333331</v>
      </c>
      <c r="M289" s="35" t="s">
        <v>112</v>
      </c>
      <c r="P289" s="68" t="s">
        <v>178</v>
      </c>
      <c r="Q289" s="69">
        <v>46143</v>
      </c>
    </row>
    <row r="290" spans="1:22" ht="12" customHeight="1" x14ac:dyDescent="0.2">
      <c r="A290" s="65">
        <v>680</v>
      </c>
      <c r="B290" s="82">
        <v>111</v>
      </c>
      <c r="D290" s="155" t="s">
        <v>769</v>
      </c>
      <c r="F290" s="91" t="s">
        <v>39</v>
      </c>
      <c r="G290" s="152" t="s">
        <v>181</v>
      </c>
      <c r="H290" s="29" t="s">
        <v>770</v>
      </c>
      <c r="J290" s="32" t="s">
        <v>35</v>
      </c>
      <c r="K290" s="75" t="s">
        <v>35</v>
      </c>
      <c r="L290" s="34" t="str">
        <f>IF(ISNUMBER(I290), I290/150, "")</f>
        <v/>
      </c>
      <c r="M290" s="35" t="s">
        <v>112</v>
      </c>
      <c r="P290" s="68" t="s">
        <v>45</v>
      </c>
      <c r="Q290" s="69">
        <v>46146</v>
      </c>
    </row>
    <row r="291" spans="1:22" ht="12" customHeight="1" x14ac:dyDescent="0.2">
      <c r="A291" s="65">
        <v>682</v>
      </c>
      <c r="B291" s="82">
        <v>111</v>
      </c>
      <c r="D291" s="29" t="s">
        <v>771</v>
      </c>
      <c r="F291" s="31" t="s">
        <v>148</v>
      </c>
      <c r="G291" s="50" t="s">
        <v>24</v>
      </c>
      <c r="H291" s="29" t="s">
        <v>772</v>
      </c>
      <c r="J291" s="32" t="s">
        <v>35</v>
      </c>
      <c r="K291" s="75" t="s">
        <v>35</v>
      </c>
      <c r="L291" s="34" t="str">
        <f>IF(ISNUMBER(I291), I291/150, "")</f>
        <v/>
      </c>
      <c r="M291" s="35" t="s">
        <v>112</v>
      </c>
      <c r="P291" s="68" t="s">
        <v>141</v>
      </c>
      <c r="Q291" s="69">
        <v>46148</v>
      </c>
    </row>
    <row r="292" spans="1:22" ht="12" customHeight="1" x14ac:dyDescent="0.2">
      <c r="A292" s="65">
        <v>684</v>
      </c>
      <c r="B292" s="82">
        <v>111</v>
      </c>
      <c r="D292" s="29" t="s">
        <v>773</v>
      </c>
      <c r="E292" s="30" t="s">
        <v>66</v>
      </c>
      <c r="F292" s="31" t="s">
        <v>774</v>
      </c>
      <c r="G292" s="50" t="s">
        <v>24</v>
      </c>
      <c r="H292" s="29" t="s">
        <v>775</v>
      </c>
      <c r="J292" s="32" t="s">
        <v>35</v>
      </c>
      <c r="K292" s="75" t="s">
        <v>35</v>
      </c>
      <c r="L292" s="34" t="str">
        <f>IF(ISNUMBER(I292), I292/150, "")</f>
        <v/>
      </c>
      <c r="M292" s="35" t="s">
        <v>112</v>
      </c>
      <c r="P292" s="68" t="s">
        <v>740</v>
      </c>
      <c r="Q292" s="69">
        <v>46155</v>
      </c>
      <c r="R292" s="112"/>
      <c r="S292" s="112"/>
      <c r="T292" s="112"/>
      <c r="U292" s="112"/>
    </row>
    <row r="293" spans="1:22" ht="12" customHeight="1" x14ac:dyDescent="0.2">
      <c r="A293" s="65">
        <v>685</v>
      </c>
      <c r="B293" s="82">
        <v>111</v>
      </c>
      <c r="D293" s="29" t="s">
        <v>776</v>
      </c>
      <c r="E293" s="30" t="s">
        <v>66</v>
      </c>
      <c r="F293" s="31" t="s">
        <v>777</v>
      </c>
      <c r="G293" s="50" t="s">
        <v>24</v>
      </c>
      <c r="H293" s="29" t="s">
        <v>778</v>
      </c>
      <c r="J293" s="32" t="s">
        <v>35</v>
      </c>
      <c r="K293" s="75" t="s">
        <v>35</v>
      </c>
      <c r="L293" s="34" t="str">
        <f>IF(ISNUMBER(I293), I293/150, "")</f>
        <v/>
      </c>
      <c r="M293" s="35" t="s">
        <v>112</v>
      </c>
      <c r="P293" s="68" t="s">
        <v>740</v>
      </c>
      <c r="Q293" s="69">
        <v>46155</v>
      </c>
    </row>
    <row r="294" spans="1:22" ht="12" customHeight="1" x14ac:dyDescent="0.2">
      <c r="A294" s="27">
        <v>688</v>
      </c>
      <c r="B294" s="82">
        <v>111</v>
      </c>
      <c r="C294" s="27"/>
      <c r="D294" s="29" t="s">
        <v>779</v>
      </c>
      <c r="E294" s="49"/>
      <c r="F294" s="31" t="s">
        <v>780</v>
      </c>
      <c r="G294" s="31" t="s">
        <v>24</v>
      </c>
      <c r="H294" s="29" t="s">
        <v>781</v>
      </c>
      <c r="I294" s="156"/>
      <c r="J294" s="32" t="s">
        <v>35</v>
      </c>
      <c r="K294" s="75" t="s">
        <v>35</v>
      </c>
      <c r="L294" s="34" t="str">
        <f>IF(ISNUMBER(I294), I294/150, "")</f>
        <v/>
      </c>
      <c r="M294" s="35" t="s">
        <v>112</v>
      </c>
      <c r="O294" s="38"/>
      <c r="P294" s="38" t="s">
        <v>93</v>
      </c>
      <c r="Q294" s="39">
        <v>46164</v>
      </c>
    </row>
    <row r="295" spans="1:22" ht="12" customHeight="1" x14ac:dyDescent="0.2">
      <c r="A295" s="65">
        <v>689</v>
      </c>
      <c r="B295" s="82">
        <v>111</v>
      </c>
      <c r="D295" s="29" t="s">
        <v>782</v>
      </c>
      <c r="E295" s="30" t="s">
        <v>66</v>
      </c>
      <c r="F295" s="31" t="s">
        <v>66</v>
      </c>
      <c r="G295" s="50" t="s">
        <v>24</v>
      </c>
      <c r="H295" s="29" t="s">
        <v>783</v>
      </c>
      <c r="J295" s="32" t="s">
        <v>35</v>
      </c>
      <c r="K295" s="75" t="s">
        <v>35</v>
      </c>
      <c r="L295" s="34" t="str">
        <f>IF(ISNUMBER(I295), I295/150, "")</f>
        <v/>
      </c>
      <c r="M295" s="35" t="s">
        <v>112</v>
      </c>
      <c r="P295" s="68" t="s">
        <v>740</v>
      </c>
      <c r="Q295" s="69">
        <v>46168</v>
      </c>
    </row>
    <row r="296" spans="1:22" ht="12.75" customHeight="1" x14ac:dyDescent="0.2">
      <c r="A296" s="65">
        <v>690</v>
      </c>
      <c r="B296" s="82">
        <v>111</v>
      </c>
      <c r="D296" s="29" t="s">
        <v>784</v>
      </c>
      <c r="E296" s="30" t="s">
        <v>66</v>
      </c>
      <c r="F296" s="31" t="s">
        <v>66</v>
      </c>
      <c r="G296" s="50" t="s">
        <v>24</v>
      </c>
      <c r="H296" s="29" t="s">
        <v>785</v>
      </c>
      <c r="J296" s="32" t="s">
        <v>35</v>
      </c>
      <c r="K296" s="75" t="s">
        <v>35</v>
      </c>
      <c r="L296" s="34" t="str">
        <f>IF(ISNUMBER(I296), I296/150, "")</f>
        <v/>
      </c>
      <c r="M296" s="35" t="s">
        <v>192</v>
      </c>
      <c r="P296" s="68" t="s">
        <v>740</v>
      </c>
      <c r="Q296" s="69">
        <v>46168</v>
      </c>
    </row>
    <row r="297" spans="1:22" s="123" customFormat="1" ht="12" customHeight="1" x14ac:dyDescent="0.2">
      <c r="A297" s="65">
        <v>691</v>
      </c>
      <c r="B297" s="82">
        <v>111</v>
      </c>
      <c r="C297" s="65"/>
      <c r="D297" s="29" t="s">
        <v>786</v>
      </c>
      <c r="E297" s="30" t="s">
        <v>66</v>
      </c>
      <c r="F297" s="31" t="s">
        <v>66</v>
      </c>
      <c r="G297" s="50" t="s">
        <v>24</v>
      </c>
      <c r="H297" s="29" t="s">
        <v>787</v>
      </c>
      <c r="I297" s="67"/>
      <c r="J297" s="32" t="s">
        <v>35</v>
      </c>
      <c r="K297" s="75" t="s">
        <v>35</v>
      </c>
      <c r="L297" s="34" t="str">
        <f>IF(ISNUMBER(I297), I297/150, "")</f>
        <v/>
      </c>
      <c r="M297" s="35" t="s">
        <v>112</v>
      </c>
      <c r="N297" s="42"/>
      <c r="O297" s="68"/>
      <c r="P297" s="68" t="s">
        <v>740</v>
      </c>
      <c r="Q297" s="69">
        <v>46168</v>
      </c>
      <c r="R297" s="40"/>
      <c r="S297" s="40"/>
      <c r="T297" s="40"/>
      <c r="U297" s="40"/>
      <c r="V297" s="9"/>
    </row>
    <row r="298" spans="1:22" ht="12" customHeight="1" x14ac:dyDescent="0.2">
      <c r="A298" s="65">
        <v>692</v>
      </c>
      <c r="B298" s="82">
        <v>111</v>
      </c>
      <c r="D298" s="29" t="s">
        <v>788</v>
      </c>
      <c r="E298" s="30" t="s">
        <v>66</v>
      </c>
      <c r="F298" s="31" t="s">
        <v>66</v>
      </c>
      <c r="G298" s="50" t="s">
        <v>24</v>
      </c>
      <c r="H298" s="29" t="s">
        <v>789</v>
      </c>
      <c r="J298" s="32" t="s">
        <v>35</v>
      </c>
      <c r="K298" s="75" t="s">
        <v>35</v>
      </c>
      <c r="L298" s="34" t="str">
        <f>IF(ISNUMBER(I298), I298/150, "")</f>
        <v/>
      </c>
      <c r="M298" s="35" t="s">
        <v>112</v>
      </c>
      <c r="P298" s="68" t="s">
        <v>740</v>
      </c>
      <c r="Q298" s="69">
        <v>46169</v>
      </c>
    </row>
    <row r="299" spans="1:22" ht="12" customHeight="1" x14ac:dyDescent="0.2">
      <c r="A299" s="65">
        <v>694</v>
      </c>
      <c r="B299" s="82">
        <v>111</v>
      </c>
      <c r="D299" s="29" t="s">
        <v>790</v>
      </c>
      <c r="E299" s="30" t="s">
        <v>76</v>
      </c>
      <c r="F299" s="31" t="s">
        <v>791</v>
      </c>
      <c r="G299" s="50" t="s">
        <v>792</v>
      </c>
      <c r="H299" s="29" t="s">
        <v>793</v>
      </c>
      <c r="J299" s="32" t="s">
        <v>35</v>
      </c>
      <c r="K299" s="75" t="s">
        <v>35</v>
      </c>
      <c r="L299" s="34" t="str">
        <f>IF(ISNUMBER(I299), I299/150, "")</f>
        <v/>
      </c>
      <c r="M299" s="35" t="s">
        <v>112</v>
      </c>
      <c r="P299" s="68" t="s">
        <v>794</v>
      </c>
      <c r="Q299" s="69">
        <v>46171</v>
      </c>
      <c r="R299" s="112"/>
      <c r="S299" s="112"/>
      <c r="T299" s="112"/>
      <c r="U299" s="112"/>
    </row>
    <row r="300" spans="1:22" ht="12" customHeight="1" x14ac:dyDescent="0.2">
      <c r="A300" s="65">
        <v>695</v>
      </c>
      <c r="B300" s="82">
        <v>111</v>
      </c>
      <c r="D300" s="29" t="s">
        <v>795</v>
      </c>
      <c r="F300" s="31" t="s">
        <v>95</v>
      </c>
      <c r="G300" s="50" t="s">
        <v>24</v>
      </c>
      <c r="H300" s="29" t="s">
        <v>796</v>
      </c>
      <c r="J300" s="32" t="s">
        <v>35</v>
      </c>
      <c r="K300" s="75" t="s">
        <v>35</v>
      </c>
      <c r="L300" s="34" t="str">
        <f>IF(ISNUMBER(I300), I300/150, "")</f>
        <v/>
      </c>
      <c r="M300" s="35" t="s">
        <v>112</v>
      </c>
      <c r="P300" s="68" t="s">
        <v>98</v>
      </c>
      <c r="Q300" s="69">
        <v>46174</v>
      </c>
    </row>
    <row r="301" spans="1:22" ht="12" customHeight="1" x14ac:dyDescent="0.2">
      <c r="A301" s="65">
        <v>698</v>
      </c>
      <c r="B301" s="82">
        <v>111</v>
      </c>
      <c r="D301" s="29" t="s">
        <v>797</v>
      </c>
      <c r="F301" s="50" t="s">
        <v>161</v>
      </c>
      <c r="G301" s="50" t="s">
        <v>24</v>
      </c>
      <c r="H301" s="29" t="s">
        <v>798</v>
      </c>
      <c r="J301" s="32" t="s">
        <v>35</v>
      </c>
      <c r="K301" s="75" t="s">
        <v>35</v>
      </c>
      <c r="L301" s="34" t="str">
        <f>IF(ISNUMBER(I301), I301/150, "")</f>
        <v/>
      </c>
      <c r="M301" s="35" t="s">
        <v>112</v>
      </c>
      <c r="P301" s="68" t="s">
        <v>93</v>
      </c>
      <c r="Q301" s="69">
        <v>46176</v>
      </c>
      <c r="R301" s="112"/>
      <c r="S301" s="112"/>
      <c r="T301" s="112"/>
      <c r="U301" s="112"/>
    </row>
    <row r="302" spans="1:22" ht="12" customHeight="1" x14ac:dyDescent="0.2">
      <c r="A302" s="65">
        <v>699</v>
      </c>
      <c r="B302" s="82">
        <v>111</v>
      </c>
      <c r="D302" s="29" t="s">
        <v>799</v>
      </c>
      <c r="F302" s="50" t="s">
        <v>800</v>
      </c>
      <c r="G302" s="50" t="s">
        <v>181</v>
      </c>
      <c r="H302" s="29" t="s">
        <v>801</v>
      </c>
      <c r="J302" s="32" t="s">
        <v>35</v>
      </c>
      <c r="K302" s="75" t="s">
        <v>35</v>
      </c>
      <c r="L302" s="34" t="str">
        <f>IF(ISNUMBER(I302), I302/150, "")</f>
        <v/>
      </c>
      <c r="M302" s="35" t="s">
        <v>112</v>
      </c>
      <c r="P302" s="68" t="s">
        <v>802</v>
      </c>
      <c r="Q302" s="69">
        <v>46176</v>
      </c>
      <c r="R302" s="112"/>
      <c r="S302" s="112"/>
      <c r="T302" s="112"/>
      <c r="U302" s="112"/>
    </row>
    <row r="303" spans="1:22" ht="12" customHeight="1" x14ac:dyDescent="0.2">
      <c r="A303" s="65">
        <v>700</v>
      </c>
      <c r="B303" s="82">
        <v>111</v>
      </c>
      <c r="D303" s="29" t="s">
        <v>803</v>
      </c>
      <c r="F303" s="50" t="s">
        <v>804</v>
      </c>
      <c r="G303" s="50" t="s">
        <v>181</v>
      </c>
      <c r="H303" s="29" t="s">
        <v>805</v>
      </c>
      <c r="J303" s="32" t="s">
        <v>35</v>
      </c>
      <c r="K303" s="75" t="s">
        <v>35</v>
      </c>
      <c r="L303" s="34" t="str">
        <f>IF(ISNUMBER(I303), I303/150, "")</f>
        <v/>
      </c>
      <c r="M303" s="35" t="s">
        <v>112</v>
      </c>
      <c r="P303" s="68" t="s">
        <v>806</v>
      </c>
      <c r="Q303" s="56">
        <v>46177</v>
      </c>
      <c r="R303" s="112"/>
      <c r="S303" s="112"/>
      <c r="T303" s="112"/>
      <c r="U303" s="112"/>
    </row>
    <row r="304" spans="1:22" ht="12" customHeight="1" x14ac:dyDescent="0.2">
      <c r="A304" s="65">
        <v>704</v>
      </c>
      <c r="B304" s="82">
        <v>111</v>
      </c>
      <c r="D304" s="29" t="s">
        <v>807</v>
      </c>
      <c r="F304" s="50" t="s">
        <v>239</v>
      </c>
      <c r="G304" s="50" t="s">
        <v>24</v>
      </c>
      <c r="H304" s="29" t="s">
        <v>808</v>
      </c>
      <c r="J304" s="32" t="s">
        <v>35</v>
      </c>
      <c r="K304" s="75" t="s">
        <v>35</v>
      </c>
      <c r="L304" s="34" t="str">
        <f>IF(ISNUMBER(I304), I304/150, "")</f>
        <v/>
      </c>
      <c r="M304" s="35" t="s">
        <v>112</v>
      </c>
      <c r="P304" s="68" t="s">
        <v>98</v>
      </c>
      <c r="Q304" s="69">
        <v>46183</v>
      </c>
      <c r="R304" s="112"/>
      <c r="S304" s="112"/>
      <c r="T304" s="112"/>
      <c r="U304" s="112"/>
    </row>
    <row r="305" spans="1:22" ht="12" customHeight="1" x14ac:dyDescent="0.2">
      <c r="A305" s="53">
        <v>709</v>
      </c>
      <c r="B305" s="82">
        <v>111</v>
      </c>
      <c r="C305" s="53"/>
      <c r="D305" s="29" t="s">
        <v>809</v>
      </c>
      <c r="E305" s="55"/>
      <c r="F305" s="46" t="s">
        <v>32</v>
      </c>
      <c r="G305" s="46" t="s">
        <v>24</v>
      </c>
      <c r="H305" s="29" t="s">
        <v>810</v>
      </c>
      <c r="I305" s="16"/>
      <c r="J305" s="32" t="s">
        <v>35</v>
      </c>
      <c r="K305" s="75" t="s">
        <v>35</v>
      </c>
      <c r="L305" s="34" t="str">
        <f>IF(ISNUMBER(I305), I305/150, "")</f>
        <v/>
      </c>
      <c r="M305" s="76" t="s">
        <v>112</v>
      </c>
      <c r="N305" s="77"/>
      <c r="O305" s="43"/>
      <c r="P305" s="35" t="s">
        <v>98</v>
      </c>
      <c r="Q305" s="56">
        <v>46190</v>
      </c>
      <c r="R305" s="112"/>
      <c r="S305" s="112"/>
      <c r="T305" s="112"/>
      <c r="U305" s="112"/>
    </row>
    <row r="306" spans="1:22" s="157" customFormat="1" ht="12" customHeight="1" x14ac:dyDescent="0.2">
      <c r="A306" s="65">
        <v>715</v>
      </c>
      <c r="B306" s="82">
        <v>111</v>
      </c>
      <c r="C306" s="65"/>
      <c r="D306" s="29" t="s">
        <v>811</v>
      </c>
      <c r="E306" s="30"/>
      <c r="F306" s="50" t="s">
        <v>39</v>
      </c>
      <c r="G306" s="50" t="s">
        <v>181</v>
      </c>
      <c r="H306" s="29" t="s">
        <v>812</v>
      </c>
      <c r="I306" s="67"/>
      <c r="J306" s="32" t="s">
        <v>35</v>
      </c>
      <c r="K306" s="75" t="s">
        <v>35</v>
      </c>
      <c r="L306" s="34" t="str">
        <f>IF(ISNUMBER(I306), I306/150, "")</f>
        <v/>
      </c>
      <c r="M306" s="35" t="s">
        <v>112</v>
      </c>
      <c r="N306" s="42"/>
      <c r="O306" s="68"/>
      <c r="P306" s="68" t="s">
        <v>45</v>
      </c>
      <c r="Q306" s="69">
        <v>46198</v>
      </c>
      <c r="R306" s="135"/>
      <c r="S306" s="135"/>
      <c r="T306" s="135"/>
      <c r="U306" s="135"/>
      <c r="V306" s="9"/>
    </row>
    <row r="307" spans="1:22" s="157" customFormat="1" ht="12" customHeight="1" x14ac:dyDescent="0.2">
      <c r="A307" s="65">
        <v>716</v>
      </c>
      <c r="B307" s="82">
        <v>111</v>
      </c>
      <c r="C307" s="65"/>
      <c r="D307" s="29" t="s">
        <v>813</v>
      </c>
      <c r="E307" s="30"/>
      <c r="F307" s="50" t="s">
        <v>32</v>
      </c>
      <c r="G307" s="50" t="s">
        <v>24</v>
      </c>
      <c r="H307" s="29" t="s">
        <v>814</v>
      </c>
      <c r="I307" s="67"/>
      <c r="J307" s="32" t="s">
        <v>35</v>
      </c>
      <c r="K307" s="75" t="s">
        <v>35</v>
      </c>
      <c r="L307" s="34" t="str">
        <f>IF(ISNUMBER(I307), I307/150, "")</f>
        <v/>
      </c>
      <c r="M307" s="35" t="s">
        <v>112</v>
      </c>
      <c r="N307" s="42"/>
      <c r="O307" s="68"/>
      <c r="P307" s="68" t="s">
        <v>98</v>
      </c>
      <c r="Q307" s="69">
        <v>46198</v>
      </c>
      <c r="R307" s="135"/>
      <c r="S307" s="135"/>
      <c r="T307" s="135"/>
      <c r="U307" s="135"/>
      <c r="V307" s="9"/>
    </row>
    <row r="308" spans="1:22" ht="12" customHeight="1" x14ac:dyDescent="0.2">
      <c r="A308" s="65">
        <v>734</v>
      </c>
      <c r="B308" s="28">
        <v>111</v>
      </c>
      <c r="D308" s="29" t="s">
        <v>815</v>
      </c>
      <c r="F308" s="50" t="s">
        <v>136</v>
      </c>
      <c r="G308" s="50" t="s">
        <v>24</v>
      </c>
      <c r="H308" s="29" t="s">
        <v>816</v>
      </c>
      <c r="J308" s="32" t="s">
        <v>35</v>
      </c>
      <c r="K308" s="108" t="s">
        <v>35</v>
      </c>
      <c r="M308" s="35" t="s">
        <v>112</v>
      </c>
      <c r="P308" s="68" t="s">
        <v>141</v>
      </c>
      <c r="Q308" s="69">
        <v>46211</v>
      </c>
      <c r="R308" s="135"/>
      <c r="S308" s="135"/>
      <c r="T308" s="135"/>
      <c r="U308" s="135"/>
    </row>
    <row r="309" spans="1:22" ht="12" customHeight="1" x14ac:dyDescent="0.2">
      <c r="A309" s="65">
        <v>735</v>
      </c>
      <c r="B309" s="65">
        <v>111</v>
      </c>
      <c r="D309" s="29" t="s">
        <v>817</v>
      </c>
      <c r="F309" s="50" t="s">
        <v>616</v>
      </c>
      <c r="G309" s="50" t="s">
        <v>24</v>
      </c>
      <c r="H309" s="29" t="s">
        <v>818</v>
      </c>
      <c r="J309" s="32" t="s">
        <v>35</v>
      </c>
      <c r="K309" s="108" t="s">
        <v>35</v>
      </c>
      <c r="M309" s="35" t="s">
        <v>112</v>
      </c>
      <c r="P309" s="68" t="s">
        <v>178</v>
      </c>
      <c r="Q309" s="69">
        <v>46213</v>
      </c>
    </row>
    <row r="310" spans="1:22" ht="12" customHeight="1" x14ac:dyDescent="0.2">
      <c r="A310" s="95">
        <v>741</v>
      </c>
      <c r="B310" s="65">
        <v>111</v>
      </c>
      <c r="D310" s="29" t="s">
        <v>819</v>
      </c>
      <c r="F310" s="50" t="s">
        <v>820</v>
      </c>
      <c r="G310" s="50" t="s">
        <v>24</v>
      </c>
      <c r="H310" s="29" t="s">
        <v>821</v>
      </c>
      <c r="J310" s="32" t="s">
        <v>35</v>
      </c>
      <c r="K310" s="108" t="s">
        <v>35</v>
      </c>
      <c r="M310" s="35" t="s">
        <v>112</v>
      </c>
      <c r="P310" s="68" t="s">
        <v>178</v>
      </c>
      <c r="Q310" s="69">
        <v>46220</v>
      </c>
    </row>
    <row r="311" spans="1:22" ht="12" customHeight="1" x14ac:dyDescent="0.2">
      <c r="A311" s="65">
        <v>742</v>
      </c>
      <c r="B311" s="65">
        <v>111</v>
      </c>
      <c r="D311" s="29" t="s">
        <v>822</v>
      </c>
      <c r="E311" s="30" t="s">
        <v>543</v>
      </c>
      <c r="F311" s="50" t="s">
        <v>823</v>
      </c>
      <c r="G311" s="50" t="s">
        <v>24</v>
      </c>
      <c r="H311" s="29" t="s">
        <v>824</v>
      </c>
      <c r="J311" s="32" t="s">
        <v>35</v>
      </c>
      <c r="K311" s="108" t="s">
        <v>35</v>
      </c>
      <c r="M311" s="35" t="s">
        <v>112</v>
      </c>
      <c r="P311" s="68" t="s">
        <v>178</v>
      </c>
      <c r="Q311" s="69">
        <v>46224</v>
      </c>
    </row>
    <row r="312" spans="1:22" s="142" customFormat="1" ht="12" customHeight="1" x14ac:dyDescent="0.2">
      <c r="A312" s="158">
        <v>117</v>
      </c>
      <c r="B312" s="159">
        <v>9999</v>
      </c>
      <c r="C312" s="158"/>
      <c r="D312" s="160" t="s">
        <v>825</v>
      </c>
      <c r="E312" s="161"/>
      <c r="F312" s="160" t="s">
        <v>148</v>
      </c>
      <c r="G312" s="160" t="s">
        <v>181</v>
      </c>
      <c r="H312" s="160"/>
      <c r="I312" s="162"/>
      <c r="J312" s="163"/>
      <c r="K312" s="164"/>
      <c r="L312" s="165"/>
      <c r="M312" s="166" t="s">
        <v>826</v>
      </c>
      <c r="N312" s="167">
        <v>45406</v>
      </c>
      <c r="O312" s="166" t="s">
        <v>827</v>
      </c>
      <c r="P312" s="166"/>
      <c r="Q312" s="168"/>
      <c r="V312" s="9"/>
    </row>
    <row r="313" spans="1:22" s="142" customFormat="1" ht="12" customHeight="1" x14ac:dyDescent="0.2">
      <c r="A313" s="158">
        <v>118</v>
      </c>
      <c r="B313" s="159">
        <v>9999</v>
      </c>
      <c r="C313" s="158"/>
      <c r="D313" s="160" t="s">
        <v>828</v>
      </c>
      <c r="E313" s="161"/>
      <c r="F313" s="160" t="s">
        <v>148</v>
      </c>
      <c r="G313" s="160" t="s">
        <v>24</v>
      </c>
      <c r="H313" s="160" t="s">
        <v>829</v>
      </c>
      <c r="I313" s="162"/>
      <c r="J313" s="163"/>
      <c r="K313" s="164"/>
      <c r="L313" s="165"/>
      <c r="M313" s="166" t="s">
        <v>826</v>
      </c>
      <c r="N313" s="167">
        <v>45406</v>
      </c>
      <c r="O313" s="166" t="s">
        <v>827</v>
      </c>
      <c r="P313" s="166"/>
      <c r="Q313" s="168"/>
      <c r="V313" s="9"/>
    </row>
    <row r="314" spans="1:22" s="142" customFormat="1" ht="12" customHeight="1" x14ac:dyDescent="0.2">
      <c r="A314" s="158">
        <v>125</v>
      </c>
      <c r="B314" s="159">
        <v>9999</v>
      </c>
      <c r="C314" s="158"/>
      <c r="D314" s="160" t="s">
        <v>830</v>
      </c>
      <c r="E314" s="161"/>
      <c r="F314" s="160" t="s">
        <v>32</v>
      </c>
      <c r="G314" s="160" t="s">
        <v>181</v>
      </c>
      <c r="H314" s="160" t="s">
        <v>831</v>
      </c>
      <c r="I314" s="162"/>
      <c r="J314" s="163"/>
      <c r="K314" s="164"/>
      <c r="L314" s="165"/>
      <c r="M314" s="166" t="s">
        <v>826</v>
      </c>
      <c r="N314" s="167">
        <v>45406</v>
      </c>
      <c r="O314" s="166" t="s">
        <v>827</v>
      </c>
      <c r="P314" s="166"/>
      <c r="Q314" s="168"/>
      <c r="V314" s="9"/>
    </row>
    <row r="315" spans="1:22" s="142" customFormat="1" ht="15.75" customHeight="1" x14ac:dyDescent="0.2">
      <c r="A315" s="158">
        <v>131</v>
      </c>
      <c r="B315" s="159">
        <v>9999</v>
      </c>
      <c r="C315" s="158"/>
      <c r="D315" s="160" t="s">
        <v>832</v>
      </c>
      <c r="E315" s="161"/>
      <c r="F315" s="160" t="s">
        <v>32</v>
      </c>
      <c r="G315" s="160" t="s">
        <v>181</v>
      </c>
      <c r="H315" s="160" t="s">
        <v>833</v>
      </c>
      <c r="I315" s="162"/>
      <c r="J315" s="163"/>
      <c r="K315" s="164"/>
      <c r="L315" s="165"/>
      <c r="M315" s="166" t="s">
        <v>826</v>
      </c>
      <c r="N315" s="167">
        <v>45406</v>
      </c>
      <c r="O315" s="166" t="s">
        <v>827</v>
      </c>
      <c r="P315" s="166"/>
      <c r="Q315" s="168"/>
      <c r="V315" s="9"/>
    </row>
    <row r="316" spans="1:22" s="142" customFormat="1" ht="12" customHeight="1" x14ac:dyDescent="0.2">
      <c r="A316" s="158">
        <v>8</v>
      </c>
      <c r="B316" s="159">
        <v>9999</v>
      </c>
      <c r="C316" s="158"/>
      <c r="D316" s="160" t="s">
        <v>834</v>
      </c>
      <c r="E316" s="161"/>
      <c r="F316" s="160" t="s">
        <v>205</v>
      </c>
      <c r="G316" s="160" t="s">
        <v>181</v>
      </c>
      <c r="H316" s="160"/>
      <c r="I316" s="169"/>
      <c r="J316" s="163"/>
      <c r="K316" s="164"/>
      <c r="L316" s="165"/>
      <c r="M316" s="166" t="s">
        <v>826</v>
      </c>
      <c r="N316" s="167">
        <v>45434</v>
      </c>
      <c r="O316" s="166" t="s">
        <v>835</v>
      </c>
      <c r="P316" s="166"/>
      <c r="Q316" s="168"/>
      <c r="V316" s="9"/>
    </row>
    <row r="317" spans="1:22" s="142" customFormat="1" ht="12" customHeight="1" x14ac:dyDescent="0.2">
      <c r="A317" s="158">
        <v>111</v>
      </c>
      <c r="B317" s="159">
        <v>9999</v>
      </c>
      <c r="C317" s="158"/>
      <c r="D317" s="160" t="s">
        <v>836</v>
      </c>
      <c r="E317" s="161"/>
      <c r="F317" s="160" t="s">
        <v>32</v>
      </c>
      <c r="G317" s="160" t="s">
        <v>181</v>
      </c>
      <c r="H317" s="160" t="s">
        <v>837</v>
      </c>
      <c r="I317" s="162"/>
      <c r="J317" s="163"/>
      <c r="K317" s="164"/>
      <c r="L317" s="165"/>
      <c r="M317" s="166" t="s">
        <v>826</v>
      </c>
      <c r="N317" s="167">
        <v>45434</v>
      </c>
      <c r="O317" s="166" t="s">
        <v>835</v>
      </c>
      <c r="P317" s="166"/>
      <c r="Q317" s="168"/>
      <c r="V317" s="9"/>
    </row>
    <row r="318" spans="1:22" s="142" customFormat="1" ht="12" customHeight="1" x14ac:dyDescent="0.2">
      <c r="A318" s="158">
        <v>115</v>
      </c>
      <c r="B318" s="159">
        <v>9999</v>
      </c>
      <c r="C318" s="158"/>
      <c r="D318" s="160" t="s">
        <v>838</v>
      </c>
      <c r="E318" s="161"/>
      <c r="F318" s="160" t="s">
        <v>32</v>
      </c>
      <c r="G318" s="160" t="s">
        <v>24</v>
      </c>
      <c r="H318" s="160"/>
      <c r="I318" s="162"/>
      <c r="J318" s="163"/>
      <c r="K318" s="164"/>
      <c r="L318" s="165"/>
      <c r="M318" s="166" t="s">
        <v>826</v>
      </c>
      <c r="N318" s="167">
        <v>45434</v>
      </c>
      <c r="O318" s="166" t="s">
        <v>835</v>
      </c>
      <c r="P318" s="166"/>
      <c r="Q318" s="168"/>
      <c r="V318" s="9"/>
    </row>
    <row r="319" spans="1:22" s="142" customFormat="1" ht="12" customHeight="1" x14ac:dyDescent="0.2">
      <c r="A319" s="158">
        <v>120</v>
      </c>
      <c r="B319" s="159">
        <v>9999</v>
      </c>
      <c r="C319" s="158"/>
      <c r="D319" s="160" t="s">
        <v>839</v>
      </c>
      <c r="E319" s="161"/>
      <c r="F319" s="160" t="s">
        <v>32</v>
      </c>
      <c r="G319" s="160" t="s">
        <v>81</v>
      </c>
      <c r="H319" s="160" t="s">
        <v>840</v>
      </c>
      <c r="I319" s="162"/>
      <c r="J319" s="163"/>
      <c r="K319" s="164"/>
      <c r="L319" s="165"/>
      <c r="M319" s="166" t="s">
        <v>826</v>
      </c>
      <c r="N319" s="167">
        <v>45434</v>
      </c>
      <c r="O319" s="166" t="s">
        <v>835</v>
      </c>
      <c r="P319" s="166"/>
      <c r="Q319" s="168"/>
      <c r="V319" s="9"/>
    </row>
    <row r="320" spans="1:22" s="142" customFormat="1" ht="12" customHeight="1" x14ac:dyDescent="0.2">
      <c r="A320" s="158">
        <v>121</v>
      </c>
      <c r="B320" s="159">
        <v>9999</v>
      </c>
      <c r="C320" s="158"/>
      <c r="D320" s="160" t="s">
        <v>841</v>
      </c>
      <c r="E320" s="161"/>
      <c r="F320" s="160" t="s">
        <v>32</v>
      </c>
      <c r="G320" s="160" t="s">
        <v>181</v>
      </c>
      <c r="H320" s="160" t="s">
        <v>842</v>
      </c>
      <c r="I320" s="162"/>
      <c r="J320" s="163"/>
      <c r="K320" s="164"/>
      <c r="L320" s="165"/>
      <c r="M320" s="166" t="s">
        <v>826</v>
      </c>
      <c r="N320" s="167">
        <v>45434</v>
      </c>
      <c r="O320" s="166" t="s">
        <v>835</v>
      </c>
      <c r="P320" s="166"/>
      <c r="Q320" s="168"/>
      <c r="V320" s="9"/>
    </row>
    <row r="321" spans="1:22" s="142" customFormat="1" ht="12" customHeight="1" x14ac:dyDescent="0.2">
      <c r="A321" s="158">
        <v>140</v>
      </c>
      <c r="B321" s="159">
        <v>9999</v>
      </c>
      <c r="C321" s="158"/>
      <c r="D321" s="160" t="s">
        <v>843</v>
      </c>
      <c r="E321" s="161"/>
      <c r="F321" s="160" t="s">
        <v>136</v>
      </c>
      <c r="G321" s="160" t="s">
        <v>24</v>
      </c>
      <c r="H321" s="160"/>
      <c r="I321" s="162"/>
      <c r="J321" s="163"/>
      <c r="K321" s="164"/>
      <c r="L321" s="165"/>
      <c r="M321" s="166" t="s">
        <v>826</v>
      </c>
      <c r="N321" s="167">
        <v>45434</v>
      </c>
      <c r="O321" s="166" t="s">
        <v>835</v>
      </c>
      <c r="P321" s="166"/>
      <c r="Q321" s="168"/>
      <c r="V321" s="9"/>
    </row>
    <row r="322" spans="1:22" s="142" customFormat="1" ht="12" customHeight="1" x14ac:dyDescent="0.2">
      <c r="A322" s="158">
        <v>156</v>
      </c>
      <c r="B322" s="159">
        <v>9999</v>
      </c>
      <c r="C322" s="158"/>
      <c r="D322" s="160" t="s">
        <v>844</v>
      </c>
      <c r="E322" s="161"/>
      <c r="F322" s="160" t="s">
        <v>616</v>
      </c>
      <c r="G322" s="160" t="s">
        <v>24</v>
      </c>
      <c r="H322" s="160"/>
      <c r="I322" s="162"/>
      <c r="J322" s="163"/>
      <c r="K322" s="164"/>
      <c r="L322" s="165"/>
      <c r="M322" s="166" t="s">
        <v>826</v>
      </c>
      <c r="N322" s="167">
        <v>45444</v>
      </c>
      <c r="O322" s="166"/>
      <c r="P322" s="166"/>
      <c r="Q322" s="168"/>
      <c r="V322" s="9"/>
    </row>
    <row r="323" spans="1:22" s="142" customFormat="1" ht="12" customHeight="1" x14ac:dyDescent="0.2">
      <c r="A323" s="158">
        <v>5</v>
      </c>
      <c r="B323" s="159">
        <v>9999</v>
      </c>
      <c r="C323" s="158"/>
      <c r="D323" s="160" t="s">
        <v>845</v>
      </c>
      <c r="E323" s="161"/>
      <c r="F323" s="160" t="s">
        <v>846</v>
      </c>
      <c r="G323" s="160" t="s">
        <v>181</v>
      </c>
      <c r="H323" s="160"/>
      <c r="I323" s="169"/>
      <c r="J323" s="163"/>
      <c r="K323" s="164"/>
      <c r="L323" s="165"/>
      <c r="M323" s="166" t="s">
        <v>826</v>
      </c>
      <c r="N323" s="167">
        <v>45473</v>
      </c>
      <c r="O323" s="166" t="s">
        <v>847</v>
      </c>
      <c r="P323" s="166"/>
      <c r="Q323" s="168"/>
      <c r="V323" s="9"/>
    </row>
    <row r="324" spans="1:22" s="142" customFormat="1" ht="12" customHeight="1" x14ac:dyDescent="0.2">
      <c r="A324" s="158">
        <v>66</v>
      </c>
      <c r="B324" s="159">
        <v>9999</v>
      </c>
      <c r="C324" s="158"/>
      <c r="D324" s="160" t="s">
        <v>848</v>
      </c>
      <c r="E324" s="161"/>
      <c r="F324" s="160" t="s">
        <v>341</v>
      </c>
      <c r="G324" s="160" t="s">
        <v>24</v>
      </c>
      <c r="H324" s="160"/>
      <c r="I324" s="162"/>
      <c r="J324" s="163"/>
      <c r="K324" s="164"/>
      <c r="L324" s="165"/>
      <c r="M324" s="166" t="s">
        <v>826</v>
      </c>
      <c r="N324" s="167">
        <v>45473</v>
      </c>
      <c r="O324" s="166" t="s">
        <v>847</v>
      </c>
      <c r="P324" s="166"/>
      <c r="Q324" s="168"/>
      <c r="V324" s="25">
        <v>7</v>
      </c>
    </row>
    <row r="325" spans="1:22" s="142" customFormat="1" ht="12" customHeight="1" x14ac:dyDescent="0.2">
      <c r="A325" s="158">
        <v>77</v>
      </c>
      <c r="B325" s="159">
        <v>9999</v>
      </c>
      <c r="C325" s="158"/>
      <c r="D325" s="160" t="s">
        <v>849</v>
      </c>
      <c r="E325" s="161"/>
      <c r="F325" s="160" t="s">
        <v>850</v>
      </c>
      <c r="G325" s="160" t="s">
        <v>181</v>
      </c>
      <c r="H325" s="160" t="s">
        <v>851</v>
      </c>
      <c r="I325" s="162"/>
      <c r="J325" s="163"/>
      <c r="K325" s="164"/>
      <c r="L325" s="165"/>
      <c r="M325" s="166" t="s">
        <v>826</v>
      </c>
      <c r="N325" s="167">
        <v>45473</v>
      </c>
      <c r="O325" s="166" t="s">
        <v>847</v>
      </c>
      <c r="P325" s="166"/>
      <c r="Q325" s="168"/>
      <c r="V325" s="9"/>
    </row>
    <row r="326" spans="1:22" s="142" customFormat="1" ht="12" customHeight="1" x14ac:dyDescent="0.2">
      <c r="A326" s="158">
        <v>104</v>
      </c>
      <c r="B326" s="159">
        <v>9999</v>
      </c>
      <c r="C326" s="158"/>
      <c r="D326" s="160" t="s">
        <v>852</v>
      </c>
      <c r="E326" s="161"/>
      <c r="F326" s="160" t="s">
        <v>341</v>
      </c>
      <c r="G326" s="160" t="s">
        <v>24</v>
      </c>
      <c r="H326" s="160" t="s">
        <v>853</v>
      </c>
      <c r="I326" s="162"/>
      <c r="J326" s="163"/>
      <c r="K326" s="164"/>
      <c r="L326" s="165"/>
      <c r="M326" s="166" t="s">
        <v>826</v>
      </c>
      <c r="N326" s="167">
        <v>45473</v>
      </c>
      <c r="O326" s="166" t="s">
        <v>847</v>
      </c>
      <c r="P326" s="166"/>
      <c r="Q326" s="168"/>
      <c r="V326" s="9"/>
    </row>
    <row r="327" spans="1:22" s="142" customFormat="1" ht="12" customHeight="1" x14ac:dyDescent="0.2">
      <c r="A327" s="158">
        <v>136</v>
      </c>
      <c r="B327" s="159">
        <v>9999</v>
      </c>
      <c r="C327" s="158"/>
      <c r="D327" s="160" t="s">
        <v>854</v>
      </c>
      <c r="E327" s="161"/>
      <c r="F327" s="160"/>
      <c r="G327" s="160" t="s">
        <v>24</v>
      </c>
      <c r="H327" s="160"/>
      <c r="I327" s="162"/>
      <c r="J327" s="163"/>
      <c r="K327" s="164"/>
      <c r="L327" s="165"/>
      <c r="M327" s="166" t="s">
        <v>826</v>
      </c>
      <c r="N327" s="167">
        <v>45473</v>
      </c>
      <c r="O327" s="166" t="s">
        <v>847</v>
      </c>
      <c r="P327" s="166"/>
      <c r="Q327" s="168"/>
      <c r="V327" s="9"/>
    </row>
    <row r="328" spans="1:22" s="142" customFormat="1" ht="12" customHeight="1" x14ac:dyDescent="0.2">
      <c r="A328" s="158">
        <v>138</v>
      </c>
      <c r="B328" s="159">
        <v>9999</v>
      </c>
      <c r="C328" s="158"/>
      <c r="D328" s="160" t="s">
        <v>855</v>
      </c>
      <c r="E328" s="161"/>
      <c r="F328" s="160"/>
      <c r="G328" s="160" t="s">
        <v>24</v>
      </c>
      <c r="H328" s="160"/>
      <c r="I328" s="162"/>
      <c r="J328" s="163"/>
      <c r="K328" s="164"/>
      <c r="L328" s="165"/>
      <c r="M328" s="166" t="s">
        <v>826</v>
      </c>
      <c r="N328" s="167">
        <v>45473</v>
      </c>
      <c r="O328" s="166" t="s">
        <v>847</v>
      </c>
      <c r="P328" s="166"/>
      <c r="Q328" s="168"/>
      <c r="V328" s="9"/>
    </row>
    <row r="329" spans="1:22" s="142" customFormat="1" ht="12" customHeight="1" x14ac:dyDescent="0.2">
      <c r="A329" s="158">
        <v>154</v>
      </c>
      <c r="B329" s="159">
        <v>9999</v>
      </c>
      <c r="C329" s="158"/>
      <c r="D329" s="160" t="s">
        <v>856</v>
      </c>
      <c r="E329" s="161"/>
      <c r="F329" s="160"/>
      <c r="G329" s="160" t="s">
        <v>24</v>
      </c>
      <c r="H329" s="160"/>
      <c r="I329" s="162"/>
      <c r="J329" s="163"/>
      <c r="K329" s="164"/>
      <c r="L329" s="165"/>
      <c r="M329" s="166" t="s">
        <v>826</v>
      </c>
      <c r="N329" s="167">
        <v>45473</v>
      </c>
      <c r="O329" s="166" t="s">
        <v>847</v>
      </c>
      <c r="P329" s="166"/>
      <c r="Q329" s="168"/>
      <c r="V329" s="9"/>
    </row>
    <row r="330" spans="1:22" s="142" customFormat="1" ht="12" customHeight="1" x14ac:dyDescent="0.2">
      <c r="A330" s="158">
        <v>158</v>
      </c>
      <c r="B330" s="159">
        <v>9999</v>
      </c>
      <c r="C330" s="158"/>
      <c r="D330" s="160" t="s">
        <v>857</v>
      </c>
      <c r="E330" s="161"/>
      <c r="F330" s="160" t="s">
        <v>32</v>
      </c>
      <c r="G330" s="160" t="s">
        <v>24</v>
      </c>
      <c r="H330" s="160" t="s">
        <v>858</v>
      </c>
      <c r="I330" s="162"/>
      <c r="J330" s="163"/>
      <c r="K330" s="164"/>
      <c r="L330" s="165"/>
      <c r="M330" s="166" t="s">
        <v>826</v>
      </c>
      <c r="N330" s="167">
        <v>45473</v>
      </c>
      <c r="O330" s="166" t="s">
        <v>847</v>
      </c>
      <c r="P330" s="166"/>
      <c r="Q330" s="168"/>
      <c r="V330" s="9"/>
    </row>
    <row r="331" spans="1:22" s="142" customFormat="1" ht="12" customHeight="1" x14ac:dyDescent="0.2">
      <c r="A331" s="158">
        <v>28</v>
      </c>
      <c r="B331" s="159">
        <v>9999</v>
      </c>
      <c r="C331" s="158"/>
      <c r="D331" s="160" t="s">
        <v>859</v>
      </c>
      <c r="E331" s="161"/>
      <c r="F331" s="160" t="s">
        <v>265</v>
      </c>
      <c r="G331" s="160" t="s">
        <v>24</v>
      </c>
      <c r="H331" s="160" t="s">
        <v>860</v>
      </c>
      <c r="I331" s="162"/>
      <c r="J331" s="163"/>
      <c r="K331" s="164"/>
      <c r="L331" s="165"/>
      <c r="M331" s="166" t="s">
        <v>826</v>
      </c>
      <c r="N331" s="167">
        <v>45504</v>
      </c>
      <c r="O331" s="166" t="s">
        <v>861</v>
      </c>
      <c r="P331" s="166"/>
      <c r="Q331" s="168"/>
      <c r="V331" s="9"/>
    </row>
    <row r="332" spans="1:22" s="142" customFormat="1" ht="12" customHeight="1" x14ac:dyDescent="0.2">
      <c r="A332" s="158">
        <v>29</v>
      </c>
      <c r="B332" s="159">
        <v>9999</v>
      </c>
      <c r="C332" s="158"/>
      <c r="D332" s="160" t="s">
        <v>862</v>
      </c>
      <c r="E332" s="161"/>
      <c r="F332" s="160" t="s">
        <v>863</v>
      </c>
      <c r="G332" s="160" t="s">
        <v>24</v>
      </c>
      <c r="H332" s="160"/>
      <c r="I332" s="162"/>
      <c r="J332" s="163"/>
      <c r="K332" s="164"/>
      <c r="L332" s="165"/>
      <c r="M332" s="166" t="s">
        <v>826</v>
      </c>
      <c r="N332" s="167">
        <v>45504</v>
      </c>
      <c r="O332" s="166" t="s">
        <v>861</v>
      </c>
      <c r="P332" s="166"/>
      <c r="Q332" s="168"/>
      <c r="V332" s="9"/>
    </row>
    <row r="333" spans="1:22" s="142" customFormat="1" ht="12" customHeight="1" x14ac:dyDescent="0.2">
      <c r="A333" s="158">
        <v>101</v>
      </c>
      <c r="B333" s="159">
        <v>9999</v>
      </c>
      <c r="C333" s="158"/>
      <c r="D333" s="160" t="s">
        <v>864</v>
      </c>
      <c r="E333" s="161"/>
      <c r="F333" s="160" t="s">
        <v>32</v>
      </c>
      <c r="G333" s="160" t="s">
        <v>24</v>
      </c>
      <c r="H333" s="160" t="s">
        <v>865</v>
      </c>
      <c r="I333" s="162"/>
      <c r="J333" s="163"/>
      <c r="K333" s="164"/>
      <c r="L333" s="165"/>
      <c r="M333" s="166" t="s">
        <v>826</v>
      </c>
      <c r="N333" s="167">
        <v>45504</v>
      </c>
      <c r="O333" s="166" t="s">
        <v>861</v>
      </c>
      <c r="P333" s="166"/>
      <c r="Q333" s="168"/>
      <c r="V333" s="9"/>
    </row>
    <row r="334" spans="1:22" s="142" customFormat="1" ht="12" customHeight="1" x14ac:dyDescent="0.2">
      <c r="A334" s="158">
        <v>108</v>
      </c>
      <c r="B334" s="159">
        <v>9999</v>
      </c>
      <c r="C334" s="158"/>
      <c r="D334" s="160" t="s">
        <v>866</v>
      </c>
      <c r="E334" s="161"/>
      <c r="F334" s="160" t="s">
        <v>32</v>
      </c>
      <c r="G334" s="160" t="s">
        <v>24</v>
      </c>
      <c r="H334" s="160" t="s">
        <v>867</v>
      </c>
      <c r="I334" s="162"/>
      <c r="J334" s="163"/>
      <c r="K334" s="164"/>
      <c r="L334" s="165"/>
      <c r="M334" s="166" t="s">
        <v>826</v>
      </c>
      <c r="N334" s="167">
        <v>45504</v>
      </c>
      <c r="O334" s="166" t="s">
        <v>861</v>
      </c>
      <c r="P334" s="166"/>
      <c r="Q334" s="168"/>
      <c r="V334" s="9"/>
    </row>
    <row r="335" spans="1:22" s="142" customFormat="1" ht="12" customHeight="1" x14ac:dyDescent="0.2">
      <c r="A335" s="158">
        <v>139</v>
      </c>
      <c r="B335" s="159">
        <v>9999</v>
      </c>
      <c r="C335" s="158"/>
      <c r="D335" s="160" t="s">
        <v>868</v>
      </c>
      <c r="E335" s="161"/>
      <c r="F335" s="160" t="s">
        <v>32</v>
      </c>
      <c r="G335" s="160" t="s">
        <v>24</v>
      </c>
      <c r="H335" s="160" t="s">
        <v>869</v>
      </c>
      <c r="I335" s="162"/>
      <c r="J335" s="163"/>
      <c r="K335" s="164"/>
      <c r="L335" s="165"/>
      <c r="M335" s="166" t="s">
        <v>826</v>
      </c>
      <c r="N335" s="167">
        <v>45504</v>
      </c>
      <c r="O335" s="166" t="s">
        <v>861</v>
      </c>
      <c r="P335" s="166"/>
      <c r="Q335" s="168"/>
      <c r="V335" s="9"/>
    </row>
    <row r="336" spans="1:22" s="142" customFormat="1" ht="12" customHeight="1" x14ac:dyDescent="0.2">
      <c r="A336" s="158">
        <v>155</v>
      </c>
      <c r="B336" s="159">
        <v>9999</v>
      </c>
      <c r="C336" s="158"/>
      <c r="D336" s="160" t="s">
        <v>870</v>
      </c>
      <c r="E336" s="161"/>
      <c r="F336" s="160" t="s">
        <v>871</v>
      </c>
      <c r="G336" s="160" t="s">
        <v>24</v>
      </c>
      <c r="H336" s="160" t="s">
        <v>872</v>
      </c>
      <c r="I336" s="162"/>
      <c r="J336" s="163"/>
      <c r="K336" s="164"/>
      <c r="L336" s="165"/>
      <c r="M336" s="166" t="s">
        <v>826</v>
      </c>
      <c r="N336" s="167">
        <v>45504</v>
      </c>
      <c r="O336" s="166" t="s">
        <v>861</v>
      </c>
      <c r="P336" s="166"/>
      <c r="Q336" s="168"/>
      <c r="V336" s="9"/>
    </row>
    <row r="337" spans="1:22" s="142" customFormat="1" ht="12" customHeight="1" x14ac:dyDescent="0.2">
      <c r="A337" s="158">
        <v>159</v>
      </c>
      <c r="B337" s="159">
        <v>9999</v>
      </c>
      <c r="C337" s="158"/>
      <c r="D337" s="160" t="s">
        <v>873</v>
      </c>
      <c r="E337" s="161"/>
      <c r="F337" s="160" t="s">
        <v>161</v>
      </c>
      <c r="G337" s="160" t="s">
        <v>24</v>
      </c>
      <c r="H337" s="160" t="s">
        <v>874</v>
      </c>
      <c r="I337" s="162"/>
      <c r="J337" s="163"/>
      <c r="K337" s="164"/>
      <c r="L337" s="165"/>
      <c r="M337" s="166" t="s">
        <v>826</v>
      </c>
      <c r="N337" s="167">
        <v>45504</v>
      </c>
      <c r="O337" s="166" t="s">
        <v>861</v>
      </c>
      <c r="P337" s="166"/>
      <c r="Q337" s="168"/>
      <c r="V337" s="9"/>
    </row>
    <row r="338" spans="1:22" s="142" customFormat="1" ht="12" customHeight="1" x14ac:dyDescent="0.2">
      <c r="A338" s="158">
        <v>160</v>
      </c>
      <c r="B338" s="159">
        <v>9999</v>
      </c>
      <c r="C338" s="158"/>
      <c r="D338" s="160" t="s">
        <v>875</v>
      </c>
      <c r="E338" s="161"/>
      <c r="F338" s="160" t="s">
        <v>95</v>
      </c>
      <c r="G338" s="160" t="s">
        <v>24</v>
      </c>
      <c r="H338" s="160" t="s">
        <v>876</v>
      </c>
      <c r="I338" s="162"/>
      <c r="J338" s="163"/>
      <c r="K338" s="164"/>
      <c r="L338" s="165"/>
      <c r="M338" s="166" t="s">
        <v>826</v>
      </c>
      <c r="N338" s="167">
        <v>45504</v>
      </c>
      <c r="O338" s="166" t="s">
        <v>861</v>
      </c>
      <c r="P338" s="166"/>
      <c r="Q338" s="168"/>
      <c r="V338" s="9"/>
    </row>
    <row r="339" spans="1:22" s="142" customFormat="1" ht="12" customHeight="1" x14ac:dyDescent="0.2">
      <c r="A339" s="158">
        <v>162</v>
      </c>
      <c r="B339" s="159">
        <v>9999</v>
      </c>
      <c r="C339" s="158"/>
      <c r="D339" s="160" t="s">
        <v>877</v>
      </c>
      <c r="E339" s="161"/>
      <c r="F339" s="160" t="s">
        <v>32</v>
      </c>
      <c r="G339" s="160" t="s">
        <v>24</v>
      </c>
      <c r="H339" s="160" t="s">
        <v>878</v>
      </c>
      <c r="I339" s="162"/>
      <c r="J339" s="163"/>
      <c r="K339" s="164"/>
      <c r="L339" s="165"/>
      <c r="M339" s="166" t="s">
        <v>826</v>
      </c>
      <c r="N339" s="167">
        <v>45504</v>
      </c>
      <c r="O339" s="166" t="s">
        <v>861</v>
      </c>
      <c r="P339" s="166"/>
      <c r="Q339" s="168"/>
      <c r="V339" s="9"/>
    </row>
    <row r="340" spans="1:22" s="142" customFormat="1" ht="12" customHeight="1" x14ac:dyDescent="0.2">
      <c r="A340" s="158">
        <v>167</v>
      </c>
      <c r="B340" s="159">
        <v>9999</v>
      </c>
      <c r="C340" s="158"/>
      <c r="D340" s="160" t="s">
        <v>879</v>
      </c>
      <c r="E340" s="161"/>
      <c r="F340" s="160" t="s">
        <v>880</v>
      </c>
      <c r="G340" s="160" t="s">
        <v>24</v>
      </c>
      <c r="H340" s="160" t="s">
        <v>881</v>
      </c>
      <c r="I340" s="162"/>
      <c r="J340" s="163"/>
      <c r="K340" s="164"/>
      <c r="L340" s="165"/>
      <c r="M340" s="166" t="s">
        <v>826</v>
      </c>
      <c r="N340" s="167">
        <v>45504</v>
      </c>
      <c r="O340" s="166" t="s">
        <v>861</v>
      </c>
      <c r="P340" s="166"/>
      <c r="Q340" s="168"/>
      <c r="V340" s="9"/>
    </row>
    <row r="341" spans="1:22" s="142" customFormat="1" ht="12" customHeight="1" x14ac:dyDescent="0.2">
      <c r="A341" s="158">
        <v>176</v>
      </c>
      <c r="B341" s="159">
        <v>9999</v>
      </c>
      <c r="C341" s="158"/>
      <c r="D341" s="160" t="s">
        <v>882</v>
      </c>
      <c r="E341" s="161"/>
      <c r="F341" s="160" t="s">
        <v>66</v>
      </c>
      <c r="G341" s="160" t="s">
        <v>24</v>
      </c>
      <c r="H341" s="160"/>
      <c r="I341" s="162"/>
      <c r="J341" s="163"/>
      <c r="K341" s="164"/>
      <c r="L341" s="165"/>
      <c r="M341" s="166" t="s">
        <v>826</v>
      </c>
      <c r="N341" s="167">
        <v>45504</v>
      </c>
      <c r="O341" s="166" t="s">
        <v>861</v>
      </c>
      <c r="P341" s="166"/>
      <c r="Q341" s="168"/>
      <c r="V341" s="9"/>
    </row>
    <row r="342" spans="1:22" s="142" customFormat="1" ht="12" customHeight="1" x14ac:dyDescent="0.2">
      <c r="A342" s="158">
        <v>186</v>
      </c>
      <c r="B342" s="159">
        <v>9999</v>
      </c>
      <c r="C342" s="158"/>
      <c r="D342" s="160" t="s">
        <v>883</v>
      </c>
      <c r="E342" s="161"/>
      <c r="F342" s="160" t="s">
        <v>66</v>
      </c>
      <c r="G342" s="160" t="s">
        <v>24</v>
      </c>
      <c r="H342" s="160"/>
      <c r="I342" s="162"/>
      <c r="J342" s="163"/>
      <c r="K342" s="164"/>
      <c r="L342" s="165"/>
      <c r="M342" s="166" t="s">
        <v>826</v>
      </c>
      <c r="N342" s="167">
        <v>45504</v>
      </c>
      <c r="O342" s="166" t="s">
        <v>861</v>
      </c>
      <c r="P342" s="166"/>
      <c r="Q342" s="168"/>
      <c r="V342" s="9"/>
    </row>
    <row r="343" spans="1:22" s="142" customFormat="1" ht="12" customHeight="1" x14ac:dyDescent="0.2">
      <c r="A343" s="158">
        <v>206</v>
      </c>
      <c r="B343" s="159">
        <v>9999</v>
      </c>
      <c r="C343" s="158"/>
      <c r="D343" s="160" t="s">
        <v>884</v>
      </c>
      <c r="E343" s="161"/>
      <c r="F343" s="160" t="s">
        <v>66</v>
      </c>
      <c r="G343" s="160" t="s">
        <v>24</v>
      </c>
      <c r="H343" s="160"/>
      <c r="I343" s="162"/>
      <c r="J343" s="163"/>
      <c r="K343" s="164"/>
      <c r="L343" s="165"/>
      <c r="M343" s="166" t="s">
        <v>826</v>
      </c>
      <c r="N343" s="167">
        <v>45504</v>
      </c>
      <c r="O343" s="166" t="s">
        <v>861</v>
      </c>
      <c r="P343" s="166"/>
      <c r="Q343" s="168"/>
      <c r="V343" s="9"/>
    </row>
    <row r="344" spans="1:22" s="142" customFormat="1" ht="12" customHeight="1" x14ac:dyDescent="0.2">
      <c r="A344" s="158">
        <v>80</v>
      </c>
      <c r="B344" s="159">
        <v>9999</v>
      </c>
      <c r="C344" s="158"/>
      <c r="D344" s="160" t="s">
        <v>885</v>
      </c>
      <c r="E344" s="161"/>
      <c r="F344" s="160" t="s">
        <v>886</v>
      </c>
      <c r="G344" s="160" t="s">
        <v>181</v>
      </c>
      <c r="H344" s="160" t="s">
        <v>887</v>
      </c>
      <c r="I344" s="162"/>
      <c r="J344" s="163"/>
      <c r="K344" s="164"/>
      <c r="L344" s="165"/>
      <c r="M344" s="166" t="s">
        <v>826</v>
      </c>
      <c r="N344" s="167">
        <v>45511</v>
      </c>
      <c r="O344" s="166" t="s">
        <v>888</v>
      </c>
      <c r="P344" s="166"/>
      <c r="Q344" s="168"/>
      <c r="V344" s="9"/>
    </row>
    <row r="345" spans="1:22" s="142" customFormat="1" ht="12" customHeight="1" x14ac:dyDescent="0.2">
      <c r="A345" s="158">
        <v>32</v>
      </c>
      <c r="B345" s="159">
        <v>9999</v>
      </c>
      <c r="C345" s="158"/>
      <c r="D345" s="160" t="s">
        <v>889</v>
      </c>
      <c r="E345" s="161" t="s">
        <v>121</v>
      </c>
      <c r="F345" s="160" t="s">
        <v>239</v>
      </c>
      <c r="G345" s="160" t="s">
        <v>24</v>
      </c>
      <c r="H345" s="160" t="s">
        <v>890</v>
      </c>
      <c r="I345" s="162"/>
      <c r="J345" s="163"/>
      <c r="K345" s="164"/>
      <c r="L345" s="165"/>
      <c r="M345" s="166" t="s">
        <v>826</v>
      </c>
      <c r="N345" s="167">
        <v>45529</v>
      </c>
      <c r="O345" s="166" t="s">
        <v>891</v>
      </c>
      <c r="P345" s="166"/>
      <c r="Q345" s="168"/>
      <c r="V345" s="9"/>
    </row>
    <row r="346" spans="1:22" s="142" customFormat="1" ht="12" customHeight="1" x14ac:dyDescent="0.2">
      <c r="A346" s="158">
        <v>86</v>
      </c>
      <c r="B346" s="159">
        <v>9999</v>
      </c>
      <c r="C346" s="158"/>
      <c r="D346" s="160" t="s">
        <v>892</v>
      </c>
      <c r="E346" s="161" t="s">
        <v>201</v>
      </c>
      <c r="F346" s="160" t="s">
        <v>202</v>
      </c>
      <c r="G346" s="160" t="s">
        <v>24</v>
      </c>
      <c r="H346" s="160" t="s">
        <v>893</v>
      </c>
      <c r="I346" s="162"/>
      <c r="J346" s="163"/>
      <c r="K346" s="164"/>
      <c r="L346" s="165"/>
      <c r="M346" s="166" t="s">
        <v>826</v>
      </c>
      <c r="N346" s="167">
        <v>45529</v>
      </c>
      <c r="O346" s="166" t="s">
        <v>891</v>
      </c>
      <c r="P346" s="166"/>
      <c r="Q346" s="168"/>
      <c r="V346" s="9"/>
    </row>
    <row r="347" spans="1:22" s="142" customFormat="1" ht="12" customHeight="1" x14ac:dyDescent="0.2">
      <c r="A347" s="158">
        <v>166</v>
      </c>
      <c r="B347" s="159">
        <v>9999</v>
      </c>
      <c r="C347" s="158"/>
      <c r="D347" s="160" t="s">
        <v>894</v>
      </c>
      <c r="E347" s="161"/>
      <c r="F347" s="160" t="s">
        <v>616</v>
      </c>
      <c r="G347" s="160" t="s">
        <v>24</v>
      </c>
      <c r="H347" s="160" t="s">
        <v>895</v>
      </c>
      <c r="I347" s="162"/>
      <c r="J347" s="163"/>
      <c r="K347" s="164"/>
      <c r="L347" s="165"/>
      <c r="M347" s="166" t="s">
        <v>826</v>
      </c>
      <c r="N347" s="167">
        <v>45529</v>
      </c>
      <c r="O347" s="166" t="s">
        <v>891</v>
      </c>
      <c r="P347" s="166"/>
      <c r="Q347" s="168"/>
      <c r="V347" s="9"/>
    </row>
    <row r="348" spans="1:22" s="142" customFormat="1" ht="12" customHeight="1" x14ac:dyDescent="0.2">
      <c r="A348" s="158">
        <v>175</v>
      </c>
      <c r="B348" s="159">
        <v>9999</v>
      </c>
      <c r="C348" s="158"/>
      <c r="D348" s="160" t="s">
        <v>896</v>
      </c>
      <c r="E348" s="161" t="s">
        <v>121</v>
      </c>
      <c r="F348" s="160" t="s">
        <v>161</v>
      </c>
      <c r="G348" s="160" t="s">
        <v>24</v>
      </c>
      <c r="H348" s="160" t="s">
        <v>890</v>
      </c>
      <c r="I348" s="162"/>
      <c r="J348" s="163"/>
      <c r="K348" s="164"/>
      <c r="L348" s="165"/>
      <c r="M348" s="166" t="s">
        <v>826</v>
      </c>
      <c r="N348" s="167">
        <v>45529</v>
      </c>
      <c r="O348" s="166" t="s">
        <v>891</v>
      </c>
      <c r="P348" s="166"/>
      <c r="Q348" s="168"/>
      <c r="V348" s="9"/>
    </row>
    <row r="349" spans="1:22" s="142" customFormat="1" ht="12" customHeight="1" x14ac:dyDescent="0.2">
      <c r="A349" s="158">
        <v>180</v>
      </c>
      <c r="B349" s="159">
        <v>9999</v>
      </c>
      <c r="C349" s="158"/>
      <c r="D349" s="160" t="s">
        <v>897</v>
      </c>
      <c r="E349" s="161" t="s">
        <v>80</v>
      </c>
      <c r="F349" s="160" t="s">
        <v>898</v>
      </c>
      <c r="G349" s="160" t="s">
        <v>24</v>
      </c>
      <c r="H349" s="160" t="s">
        <v>899</v>
      </c>
      <c r="I349" s="162"/>
      <c r="J349" s="163"/>
      <c r="K349" s="164"/>
      <c r="L349" s="165"/>
      <c r="M349" s="166" t="s">
        <v>826</v>
      </c>
      <c r="N349" s="167">
        <v>45529</v>
      </c>
      <c r="O349" s="166" t="s">
        <v>891</v>
      </c>
      <c r="P349" s="166"/>
      <c r="Q349" s="168"/>
      <c r="V349" s="9"/>
    </row>
    <row r="350" spans="1:22" s="142" customFormat="1" ht="12" customHeight="1" x14ac:dyDescent="0.2">
      <c r="A350" s="158">
        <v>326</v>
      </c>
      <c r="B350" s="159">
        <v>9999</v>
      </c>
      <c r="C350" s="158"/>
      <c r="D350" s="160" t="s">
        <v>900</v>
      </c>
      <c r="E350" s="161"/>
      <c r="F350" s="160" t="s">
        <v>898</v>
      </c>
      <c r="G350" s="160" t="s">
        <v>24</v>
      </c>
      <c r="H350" s="160"/>
      <c r="I350" s="162"/>
      <c r="J350" s="163"/>
      <c r="K350" s="164"/>
      <c r="L350" s="165"/>
      <c r="M350" s="166" t="s">
        <v>826</v>
      </c>
      <c r="N350" s="167">
        <v>45529</v>
      </c>
      <c r="O350" s="166" t="s">
        <v>891</v>
      </c>
      <c r="P350" s="166"/>
      <c r="Q350" s="168"/>
      <c r="V350" s="9"/>
    </row>
    <row r="351" spans="1:22" s="142" customFormat="1" ht="12" customHeight="1" x14ac:dyDescent="0.2">
      <c r="A351" s="158">
        <v>355</v>
      </c>
      <c r="B351" s="159">
        <v>9999</v>
      </c>
      <c r="C351" s="158"/>
      <c r="D351" s="160" t="s">
        <v>901</v>
      </c>
      <c r="E351" s="161" t="s">
        <v>121</v>
      </c>
      <c r="F351" s="160" t="s">
        <v>161</v>
      </c>
      <c r="G351" s="160" t="s">
        <v>24</v>
      </c>
      <c r="H351" s="160" t="s">
        <v>890</v>
      </c>
      <c r="I351" s="162"/>
      <c r="J351" s="163"/>
      <c r="K351" s="164"/>
      <c r="L351" s="165"/>
      <c r="M351" s="166" t="s">
        <v>826</v>
      </c>
      <c r="N351" s="167">
        <v>45529</v>
      </c>
      <c r="O351" s="166" t="s">
        <v>891</v>
      </c>
      <c r="P351" s="166"/>
      <c r="Q351" s="168"/>
      <c r="V351" s="9"/>
    </row>
    <row r="352" spans="1:22" s="142" customFormat="1" ht="12" customHeight="1" x14ac:dyDescent="0.2">
      <c r="A352" s="158">
        <v>92</v>
      </c>
      <c r="B352" s="159">
        <v>9999</v>
      </c>
      <c r="C352" s="158"/>
      <c r="D352" s="160" t="s">
        <v>902</v>
      </c>
      <c r="E352" s="161"/>
      <c r="F352" s="160" t="s">
        <v>205</v>
      </c>
      <c r="G352" s="160" t="s">
        <v>24</v>
      </c>
      <c r="H352" s="160"/>
      <c r="I352" s="162"/>
      <c r="J352" s="163"/>
      <c r="K352" s="164"/>
      <c r="L352" s="165"/>
      <c r="M352" s="166" t="s">
        <v>826</v>
      </c>
      <c r="N352" s="167">
        <v>45564</v>
      </c>
      <c r="O352" s="166" t="s">
        <v>903</v>
      </c>
      <c r="P352" s="166"/>
      <c r="Q352" s="168"/>
      <c r="V352" s="9"/>
    </row>
    <row r="353" spans="1:22" s="142" customFormat="1" ht="12" customHeight="1" x14ac:dyDescent="0.2">
      <c r="A353" s="158">
        <v>106</v>
      </c>
      <c r="B353" s="159">
        <v>9999</v>
      </c>
      <c r="C353" s="158"/>
      <c r="D353" s="160" t="s">
        <v>904</v>
      </c>
      <c r="E353" s="161"/>
      <c r="F353" s="160" t="s">
        <v>32</v>
      </c>
      <c r="G353" s="160" t="s">
        <v>24</v>
      </c>
      <c r="H353" s="160" t="s">
        <v>853</v>
      </c>
      <c r="I353" s="162"/>
      <c r="J353" s="163"/>
      <c r="K353" s="164"/>
      <c r="L353" s="165"/>
      <c r="M353" s="166" t="s">
        <v>826</v>
      </c>
      <c r="N353" s="167">
        <v>45564</v>
      </c>
      <c r="O353" s="166" t="s">
        <v>903</v>
      </c>
      <c r="P353" s="166"/>
      <c r="Q353" s="168"/>
      <c r="V353" s="9"/>
    </row>
    <row r="354" spans="1:22" s="142" customFormat="1" ht="12" customHeight="1" x14ac:dyDescent="0.2">
      <c r="A354" s="158">
        <v>177</v>
      </c>
      <c r="B354" s="159">
        <v>9999</v>
      </c>
      <c r="C354" s="158"/>
      <c r="D354" s="160" t="s">
        <v>905</v>
      </c>
      <c r="E354" s="161"/>
      <c r="F354" s="160" t="s">
        <v>205</v>
      </c>
      <c r="G354" s="160" t="s">
        <v>24</v>
      </c>
      <c r="H354" s="160" t="s">
        <v>906</v>
      </c>
      <c r="I354" s="162"/>
      <c r="J354" s="163"/>
      <c r="K354" s="164"/>
      <c r="L354" s="165"/>
      <c r="M354" s="166" t="s">
        <v>826</v>
      </c>
      <c r="N354" s="167">
        <v>45564</v>
      </c>
      <c r="O354" s="166" t="s">
        <v>903</v>
      </c>
      <c r="P354" s="166"/>
      <c r="Q354" s="168"/>
      <c r="V354" s="9"/>
    </row>
    <row r="355" spans="1:22" s="142" customFormat="1" ht="12" customHeight="1" x14ac:dyDescent="0.2">
      <c r="A355" s="158">
        <v>178</v>
      </c>
      <c r="B355" s="159">
        <v>9999</v>
      </c>
      <c r="C355" s="158"/>
      <c r="D355" s="160" t="s">
        <v>907</v>
      </c>
      <c r="E355" s="161"/>
      <c r="F355" s="160" t="s">
        <v>205</v>
      </c>
      <c r="G355" s="160" t="s">
        <v>24</v>
      </c>
      <c r="H355" s="160" t="s">
        <v>906</v>
      </c>
      <c r="I355" s="162"/>
      <c r="J355" s="163"/>
      <c r="K355" s="164"/>
      <c r="L355" s="165"/>
      <c r="M355" s="166" t="s">
        <v>826</v>
      </c>
      <c r="N355" s="167">
        <v>45564</v>
      </c>
      <c r="O355" s="166" t="s">
        <v>903</v>
      </c>
      <c r="P355" s="166"/>
      <c r="Q355" s="168"/>
      <c r="V355" s="9"/>
    </row>
    <row r="356" spans="1:22" s="142" customFormat="1" ht="12" customHeight="1" x14ac:dyDescent="0.2">
      <c r="A356" s="158">
        <v>196</v>
      </c>
      <c r="B356" s="159">
        <v>9999</v>
      </c>
      <c r="C356" s="158"/>
      <c r="D356" s="160" t="s">
        <v>908</v>
      </c>
      <c r="E356" s="161"/>
      <c r="F356" s="160"/>
      <c r="G356" s="160" t="s">
        <v>24</v>
      </c>
      <c r="H356" s="160" t="s">
        <v>909</v>
      </c>
      <c r="I356" s="162"/>
      <c r="J356" s="163"/>
      <c r="K356" s="164"/>
      <c r="L356" s="165"/>
      <c r="M356" s="166" t="s">
        <v>826</v>
      </c>
      <c r="N356" s="167">
        <v>45564</v>
      </c>
      <c r="O356" s="166" t="s">
        <v>903</v>
      </c>
      <c r="P356" s="166"/>
      <c r="Q356" s="168"/>
      <c r="V356" s="9"/>
    </row>
    <row r="357" spans="1:22" s="142" customFormat="1" ht="12" customHeight="1" x14ac:dyDescent="0.2">
      <c r="A357" s="158">
        <v>200</v>
      </c>
      <c r="B357" s="159">
        <v>9999</v>
      </c>
      <c r="C357" s="158"/>
      <c r="D357" s="160" t="s">
        <v>910</v>
      </c>
      <c r="E357" s="161"/>
      <c r="F357" s="160" t="s">
        <v>911</v>
      </c>
      <c r="G357" s="160" t="s">
        <v>181</v>
      </c>
      <c r="H357" s="160"/>
      <c r="I357" s="162"/>
      <c r="J357" s="163"/>
      <c r="K357" s="164"/>
      <c r="L357" s="165"/>
      <c r="M357" s="166" t="s">
        <v>826</v>
      </c>
      <c r="N357" s="167">
        <v>45564</v>
      </c>
      <c r="O357" s="166" t="s">
        <v>903</v>
      </c>
      <c r="P357" s="166"/>
      <c r="Q357" s="168"/>
      <c r="V357" s="9"/>
    </row>
    <row r="358" spans="1:22" s="142" customFormat="1" ht="12" customHeight="1" x14ac:dyDescent="0.2">
      <c r="A358" s="158">
        <v>217</v>
      </c>
      <c r="B358" s="159">
        <v>9999</v>
      </c>
      <c r="C358" s="158"/>
      <c r="D358" s="160" t="s">
        <v>912</v>
      </c>
      <c r="E358" s="161"/>
      <c r="F358" s="160" t="s">
        <v>913</v>
      </c>
      <c r="G358" s="160" t="s">
        <v>24</v>
      </c>
      <c r="H358" s="160" t="s">
        <v>914</v>
      </c>
      <c r="I358" s="162"/>
      <c r="J358" s="163"/>
      <c r="K358" s="164"/>
      <c r="L358" s="165"/>
      <c r="M358" s="166" t="s">
        <v>826</v>
      </c>
      <c r="N358" s="167">
        <v>45564</v>
      </c>
      <c r="O358" s="166" t="s">
        <v>903</v>
      </c>
      <c r="P358" s="166"/>
      <c r="Q358" s="168"/>
      <c r="V358" s="9"/>
    </row>
    <row r="359" spans="1:22" s="142" customFormat="1" ht="12" customHeight="1" x14ac:dyDescent="0.2">
      <c r="A359" s="158">
        <v>218</v>
      </c>
      <c r="B359" s="159">
        <v>9999</v>
      </c>
      <c r="C359" s="158"/>
      <c r="D359" s="160" t="s">
        <v>915</v>
      </c>
      <c r="E359" s="161"/>
      <c r="F359" s="160" t="s">
        <v>916</v>
      </c>
      <c r="G359" s="160" t="s">
        <v>24</v>
      </c>
      <c r="H359" s="160"/>
      <c r="I359" s="162"/>
      <c r="J359" s="163"/>
      <c r="K359" s="164"/>
      <c r="L359" s="165"/>
      <c r="M359" s="166" t="s">
        <v>826</v>
      </c>
      <c r="N359" s="167">
        <v>45564</v>
      </c>
      <c r="O359" s="166" t="s">
        <v>903</v>
      </c>
      <c r="P359" s="166"/>
      <c r="Q359" s="168"/>
      <c r="V359" s="9"/>
    </row>
    <row r="360" spans="1:22" s="142" customFormat="1" ht="12" customHeight="1" x14ac:dyDescent="0.2">
      <c r="A360" s="158">
        <v>227</v>
      </c>
      <c r="B360" s="159">
        <v>9999</v>
      </c>
      <c r="C360" s="158"/>
      <c r="D360" s="160" t="s">
        <v>917</v>
      </c>
      <c r="E360" s="161"/>
      <c r="F360" s="160" t="s">
        <v>341</v>
      </c>
      <c r="G360" s="160"/>
      <c r="H360" s="160" t="s">
        <v>918</v>
      </c>
      <c r="I360" s="162"/>
      <c r="J360" s="163"/>
      <c r="K360" s="164"/>
      <c r="L360" s="165"/>
      <c r="M360" s="166" t="s">
        <v>826</v>
      </c>
      <c r="N360" s="167">
        <v>45564</v>
      </c>
      <c r="O360" s="166" t="s">
        <v>903</v>
      </c>
      <c r="P360" s="166"/>
      <c r="Q360" s="168"/>
      <c r="V360" s="9"/>
    </row>
    <row r="361" spans="1:22" s="142" customFormat="1" ht="12" customHeight="1" x14ac:dyDescent="0.2">
      <c r="A361" s="158">
        <v>228</v>
      </c>
      <c r="B361" s="159">
        <v>9999</v>
      </c>
      <c r="C361" s="158"/>
      <c r="D361" s="160" t="s">
        <v>919</v>
      </c>
      <c r="E361" s="161"/>
      <c r="F361" s="160" t="s">
        <v>341</v>
      </c>
      <c r="G361" s="160"/>
      <c r="H361" s="160" t="s">
        <v>920</v>
      </c>
      <c r="I361" s="162"/>
      <c r="J361" s="163"/>
      <c r="K361" s="164"/>
      <c r="L361" s="165"/>
      <c r="M361" s="166" t="s">
        <v>826</v>
      </c>
      <c r="N361" s="167">
        <v>45564</v>
      </c>
      <c r="O361" s="166" t="s">
        <v>903</v>
      </c>
      <c r="P361" s="166"/>
      <c r="Q361" s="168"/>
      <c r="V361" s="9"/>
    </row>
    <row r="362" spans="1:22" s="142" customFormat="1" ht="12" customHeight="1" x14ac:dyDescent="0.2">
      <c r="A362" s="158">
        <v>229</v>
      </c>
      <c r="B362" s="159">
        <v>9999</v>
      </c>
      <c r="C362" s="158"/>
      <c r="D362" s="160" t="s">
        <v>921</v>
      </c>
      <c r="E362" s="161"/>
      <c r="F362" s="160" t="s">
        <v>341</v>
      </c>
      <c r="G362" s="160"/>
      <c r="H362" s="160" t="s">
        <v>922</v>
      </c>
      <c r="I362" s="162"/>
      <c r="J362" s="163"/>
      <c r="K362" s="164"/>
      <c r="L362" s="165"/>
      <c r="M362" s="166" t="s">
        <v>826</v>
      </c>
      <c r="N362" s="167">
        <v>45564</v>
      </c>
      <c r="O362" s="166" t="s">
        <v>903</v>
      </c>
      <c r="P362" s="166"/>
      <c r="Q362" s="168"/>
      <c r="V362" s="9"/>
    </row>
    <row r="363" spans="1:22" s="142" customFormat="1" ht="12" customHeight="1" x14ac:dyDescent="0.2">
      <c r="A363" s="158">
        <v>3</v>
      </c>
      <c r="B363" s="159">
        <v>9999</v>
      </c>
      <c r="C363" s="158"/>
      <c r="D363" s="160" t="s">
        <v>923</v>
      </c>
      <c r="E363" s="161"/>
      <c r="F363" s="160" t="s">
        <v>924</v>
      </c>
      <c r="G363" s="160" t="s">
        <v>181</v>
      </c>
      <c r="H363" s="160" t="s">
        <v>925</v>
      </c>
      <c r="I363" s="169"/>
      <c r="J363" s="163"/>
      <c r="K363" s="164"/>
      <c r="L363" s="165"/>
      <c r="M363" s="166" t="s">
        <v>826</v>
      </c>
      <c r="N363" s="167">
        <v>45566</v>
      </c>
      <c r="O363" s="166"/>
      <c r="P363" s="166"/>
      <c r="Q363" s="168"/>
      <c r="V363" s="9"/>
    </row>
    <row r="364" spans="1:22" s="142" customFormat="1" ht="12" customHeight="1" x14ac:dyDescent="0.2">
      <c r="A364" s="158">
        <v>75</v>
      </c>
      <c r="B364" s="159">
        <v>9999</v>
      </c>
      <c r="C364" s="158"/>
      <c r="D364" s="160" t="s">
        <v>926</v>
      </c>
      <c r="E364" s="161" t="s">
        <v>201</v>
      </c>
      <c r="F364" s="160"/>
      <c r="G364" s="160" t="s">
        <v>81</v>
      </c>
      <c r="H364" s="160" t="s">
        <v>383</v>
      </c>
      <c r="I364" s="162"/>
      <c r="J364" s="163"/>
      <c r="K364" s="164"/>
      <c r="L364" s="165"/>
      <c r="M364" s="166" t="s">
        <v>826</v>
      </c>
      <c r="N364" s="167">
        <v>45592</v>
      </c>
      <c r="O364" s="166"/>
      <c r="P364" s="166"/>
      <c r="Q364" s="168"/>
      <c r="V364" s="9"/>
    </row>
    <row r="365" spans="1:22" s="142" customFormat="1" ht="12" customHeight="1" x14ac:dyDescent="0.2">
      <c r="A365" s="158">
        <v>128</v>
      </c>
      <c r="B365" s="159">
        <v>9999</v>
      </c>
      <c r="C365" s="158"/>
      <c r="D365" s="160" t="s">
        <v>927</v>
      </c>
      <c r="E365" s="161" t="s">
        <v>80</v>
      </c>
      <c r="F365" s="160" t="s">
        <v>77</v>
      </c>
      <c r="G365" s="160" t="s">
        <v>181</v>
      </c>
      <c r="H365" s="160" t="s">
        <v>928</v>
      </c>
      <c r="I365" s="162"/>
      <c r="J365" s="163"/>
      <c r="K365" s="164"/>
      <c r="L365" s="165"/>
      <c r="M365" s="166" t="s">
        <v>826</v>
      </c>
      <c r="N365" s="167">
        <v>45592</v>
      </c>
      <c r="O365" s="166" t="s">
        <v>929</v>
      </c>
      <c r="P365" s="166"/>
      <c r="Q365" s="168"/>
      <c r="V365" s="9"/>
    </row>
    <row r="366" spans="1:22" s="142" customFormat="1" ht="12" customHeight="1" x14ac:dyDescent="0.2">
      <c r="A366" s="158">
        <v>241</v>
      </c>
      <c r="B366" s="159">
        <v>9999</v>
      </c>
      <c r="C366" s="158"/>
      <c r="D366" s="160" t="s">
        <v>930</v>
      </c>
      <c r="E366" s="161"/>
      <c r="F366" s="160" t="s">
        <v>77</v>
      </c>
      <c r="G366" s="160"/>
      <c r="H366" s="160" t="s">
        <v>931</v>
      </c>
      <c r="I366" s="162"/>
      <c r="J366" s="163"/>
      <c r="K366" s="164"/>
      <c r="L366" s="165"/>
      <c r="M366" s="166" t="s">
        <v>826</v>
      </c>
      <c r="N366" s="167">
        <v>45592</v>
      </c>
      <c r="O366" s="166" t="s">
        <v>929</v>
      </c>
      <c r="P366" s="166"/>
      <c r="Q366" s="168"/>
      <c r="V366" s="9"/>
    </row>
    <row r="367" spans="1:22" s="142" customFormat="1" ht="12" customHeight="1" x14ac:dyDescent="0.2">
      <c r="A367" s="158">
        <v>57</v>
      </c>
      <c r="B367" s="159">
        <v>9999</v>
      </c>
      <c r="C367" s="158"/>
      <c r="D367" s="160" t="s">
        <v>932</v>
      </c>
      <c r="E367" s="161"/>
      <c r="F367" s="160" t="s">
        <v>66</v>
      </c>
      <c r="G367" s="160" t="s">
        <v>81</v>
      </c>
      <c r="H367" s="160" t="s">
        <v>933</v>
      </c>
      <c r="I367" s="162"/>
      <c r="J367" s="163"/>
      <c r="K367" s="164"/>
      <c r="L367" s="165"/>
      <c r="M367" s="166" t="s">
        <v>826</v>
      </c>
      <c r="N367" s="167">
        <v>45613</v>
      </c>
      <c r="O367" s="166" t="s">
        <v>934</v>
      </c>
      <c r="P367" s="166"/>
      <c r="Q367" s="168"/>
      <c r="V367" s="9">
        <v>5</v>
      </c>
    </row>
    <row r="368" spans="1:22" s="142" customFormat="1" ht="12" customHeight="1" x14ac:dyDescent="0.2">
      <c r="A368" s="158">
        <v>90</v>
      </c>
      <c r="B368" s="159">
        <v>9999</v>
      </c>
      <c r="C368" s="158"/>
      <c r="D368" s="160" t="s">
        <v>935</v>
      </c>
      <c r="E368" s="161" t="s">
        <v>76</v>
      </c>
      <c r="F368" s="160" t="s">
        <v>604</v>
      </c>
      <c r="G368" s="160" t="s">
        <v>24</v>
      </c>
      <c r="H368" s="160" t="s">
        <v>936</v>
      </c>
      <c r="I368" s="162"/>
      <c r="J368" s="163"/>
      <c r="K368" s="164"/>
      <c r="L368" s="165"/>
      <c r="M368" s="166" t="s">
        <v>826</v>
      </c>
      <c r="N368" s="167">
        <v>45613</v>
      </c>
      <c r="O368" s="166" t="s">
        <v>934</v>
      </c>
      <c r="P368" s="166"/>
      <c r="Q368" s="168"/>
      <c r="V368" s="9"/>
    </row>
    <row r="369" spans="1:22" s="142" customFormat="1" ht="12" customHeight="1" x14ac:dyDescent="0.2">
      <c r="A369" s="158">
        <v>109</v>
      </c>
      <c r="B369" s="159">
        <v>9999</v>
      </c>
      <c r="C369" s="158"/>
      <c r="D369" s="160" t="s">
        <v>937</v>
      </c>
      <c r="E369" s="161" t="s">
        <v>221</v>
      </c>
      <c r="F369" s="160"/>
      <c r="G369" s="160"/>
      <c r="H369" s="160" t="s">
        <v>938</v>
      </c>
      <c r="I369" s="162"/>
      <c r="J369" s="163"/>
      <c r="K369" s="164"/>
      <c r="L369" s="165"/>
      <c r="M369" s="166" t="s">
        <v>826</v>
      </c>
      <c r="N369" s="167">
        <v>45613</v>
      </c>
      <c r="O369" s="166" t="s">
        <v>934</v>
      </c>
      <c r="P369" s="166"/>
      <c r="Q369" s="168"/>
      <c r="V369" s="9"/>
    </row>
    <row r="370" spans="1:22" s="142" customFormat="1" ht="12" customHeight="1" x14ac:dyDescent="0.2">
      <c r="A370" s="158">
        <v>190</v>
      </c>
      <c r="B370" s="159">
        <v>9999</v>
      </c>
      <c r="C370" s="158"/>
      <c r="D370" s="160" t="s">
        <v>939</v>
      </c>
      <c r="E370" s="161"/>
      <c r="F370" s="160" t="s">
        <v>66</v>
      </c>
      <c r="G370" s="160" t="s">
        <v>24</v>
      </c>
      <c r="H370" s="160" t="s">
        <v>940</v>
      </c>
      <c r="I370" s="162"/>
      <c r="J370" s="163"/>
      <c r="K370" s="164"/>
      <c r="L370" s="165"/>
      <c r="M370" s="166" t="s">
        <v>826</v>
      </c>
      <c r="N370" s="167">
        <v>45613</v>
      </c>
      <c r="O370" s="166" t="s">
        <v>934</v>
      </c>
      <c r="P370" s="166"/>
      <c r="Q370" s="168"/>
      <c r="V370" s="9"/>
    </row>
    <row r="371" spans="1:22" s="142" customFormat="1" ht="12" customHeight="1" x14ac:dyDescent="0.2">
      <c r="A371" s="158">
        <v>238</v>
      </c>
      <c r="B371" s="159">
        <v>9999</v>
      </c>
      <c r="C371" s="158"/>
      <c r="D371" s="160" t="s">
        <v>941</v>
      </c>
      <c r="E371" s="161" t="s">
        <v>201</v>
      </c>
      <c r="F371" s="160" t="s">
        <v>942</v>
      </c>
      <c r="G371" s="160"/>
      <c r="H371" s="160" t="s">
        <v>943</v>
      </c>
      <c r="I371" s="162"/>
      <c r="J371" s="163"/>
      <c r="K371" s="164"/>
      <c r="L371" s="165"/>
      <c r="M371" s="166" t="s">
        <v>826</v>
      </c>
      <c r="N371" s="167">
        <v>45613</v>
      </c>
      <c r="O371" s="166" t="s">
        <v>934</v>
      </c>
      <c r="P371" s="166"/>
      <c r="Q371" s="168"/>
      <c r="V371" s="9"/>
    </row>
    <row r="372" spans="1:22" s="142" customFormat="1" ht="12" customHeight="1" x14ac:dyDescent="0.2">
      <c r="A372" s="158">
        <v>38</v>
      </c>
      <c r="B372" s="159">
        <v>9999</v>
      </c>
      <c r="C372" s="158"/>
      <c r="D372" s="160" t="s">
        <v>944</v>
      </c>
      <c r="E372" s="161"/>
      <c r="F372" s="160" t="s">
        <v>95</v>
      </c>
      <c r="G372" s="160" t="s">
        <v>81</v>
      </c>
      <c r="H372" s="160" t="s">
        <v>945</v>
      </c>
      <c r="I372" s="162"/>
      <c r="J372" s="163"/>
      <c r="K372" s="164"/>
      <c r="L372" s="165"/>
      <c r="M372" s="166" t="s">
        <v>826</v>
      </c>
      <c r="N372" s="167">
        <v>45641</v>
      </c>
      <c r="O372" s="166" t="s">
        <v>946</v>
      </c>
      <c r="P372" s="166"/>
      <c r="Q372" s="168"/>
      <c r="V372" s="9"/>
    </row>
    <row r="373" spans="1:22" s="142" customFormat="1" ht="12" customHeight="1" x14ac:dyDescent="0.2">
      <c r="A373" s="158">
        <v>63</v>
      </c>
      <c r="B373" s="159">
        <v>9999</v>
      </c>
      <c r="C373" s="158"/>
      <c r="D373" s="160" t="s">
        <v>947</v>
      </c>
      <c r="E373" s="161"/>
      <c r="F373" s="160" t="s">
        <v>850</v>
      </c>
      <c r="G373" s="160" t="s">
        <v>181</v>
      </c>
      <c r="H373" s="160" t="s">
        <v>948</v>
      </c>
      <c r="I373" s="162"/>
      <c r="J373" s="163"/>
      <c r="K373" s="164"/>
      <c r="L373" s="165"/>
      <c r="M373" s="166" t="s">
        <v>826</v>
      </c>
      <c r="N373" s="167">
        <v>45641</v>
      </c>
      <c r="O373" s="166" t="s">
        <v>946</v>
      </c>
      <c r="P373" s="166"/>
      <c r="Q373" s="168"/>
      <c r="V373" s="9"/>
    </row>
    <row r="374" spans="1:22" s="142" customFormat="1" ht="12" customHeight="1" x14ac:dyDescent="0.2">
      <c r="A374" s="158">
        <v>185</v>
      </c>
      <c r="B374" s="159">
        <v>9999</v>
      </c>
      <c r="C374" s="158"/>
      <c r="D374" s="160" t="s">
        <v>949</v>
      </c>
      <c r="E374" s="161"/>
      <c r="F374" s="160" t="s">
        <v>950</v>
      </c>
      <c r="G374" s="160" t="s">
        <v>81</v>
      </c>
      <c r="H374" s="160"/>
      <c r="I374" s="162"/>
      <c r="J374" s="163"/>
      <c r="K374" s="164"/>
      <c r="L374" s="165"/>
      <c r="M374" s="166" t="s">
        <v>826</v>
      </c>
      <c r="N374" s="167">
        <v>45641</v>
      </c>
      <c r="O374" s="166" t="s">
        <v>946</v>
      </c>
      <c r="P374" s="166"/>
      <c r="Q374" s="168"/>
      <c r="V374" s="9"/>
    </row>
    <row r="375" spans="1:22" s="142" customFormat="1" ht="12" customHeight="1" x14ac:dyDescent="0.2">
      <c r="A375" s="158">
        <v>7</v>
      </c>
      <c r="B375" s="159">
        <v>9999</v>
      </c>
      <c r="C375" s="158"/>
      <c r="D375" s="160" t="s">
        <v>951</v>
      </c>
      <c r="E375" s="161"/>
      <c r="F375" s="160" t="s">
        <v>898</v>
      </c>
      <c r="G375" s="160" t="s">
        <v>33</v>
      </c>
      <c r="H375" s="160" t="s">
        <v>952</v>
      </c>
      <c r="I375" s="169"/>
      <c r="J375" s="163"/>
      <c r="K375" s="164"/>
      <c r="L375" s="165"/>
      <c r="M375" s="166" t="s">
        <v>826</v>
      </c>
      <c r="N375" s="167">
        <v>45662</v>
      </c>
      <c r="O375" s="166" t="s">
        <v>953</v>
      </c>
      <c r="P375" s="166"/>
      <c r="Q375" s="168"/>
      <c r="V375" s="9"/>
    </row>
    <row r="376" spans="1:22" s="142" customFormat="1" ht="12" customHeight="1" x14ac:dyDescent="0.2">
      <c r="A376" s="158">
        <v>24</v>
      </c>
      <c r="B376" s="159">
        <v>9999</v>
      </c>
      <c r="C376" s="158"/>
      <c r="D376" s="160" t="s">
        <v>954</v>
      </c>
      <c r="E376" s="161"/>
      <c r="F376" s="160" t="s">
        <v>205</v>
      </c>
      <c r="G376" s="160" t="s">
        <v>33</v>
      </c>
      <c r="H376" s="160" t="s">
        <v>955</v>
      </c>
      <c r="I376" s="162"/>
      <c r="J376" s="163"/>
      <c r="K376" s="164"/>
      <c r="L376" s="165"/>
      <c r="M376" s="166" t="s">
        <v>826</v>
      </c>
      <c r="N376" s="167">
        <v>45662</v>
      </c>
      <c r="O376" s="166" t="s">
        <v>946</v>
      </c>
      <c r="P376" s="166"/>
      <c r="Q376" s="168"/>
      <c r="V376" s="9"/>
    </row>
    <row r="377" spans="1:22" s="142" customFormat="1" ht="12" customHeight="1" x14ac:dyDescent="0.2">
      <c r="A377" s="158">
        <v>105</v>
      </c>
      <c r="B377" s="159">
        <v>9999</v>
      </c>
      <c r="C377" s="158"/>
      <c r="D377" s="160" t="s">
        <v>956</v>
      </c>
      <c r="E377" s="161"/>
      <c r="F377" s="160" t="s">
        <v>205</v>
      </c>
      <c r="G377" s="160" t="s">
        <v>81</v>
      </c>
      <c r="H377" s="160" t="s">
        <v>853</v>
      </c>
      <c r="I377" s="162"/>
      <c r="J377" s="163"/>
      <c r="K377" s="164"/>
      <c r="L377" s="165"/>
      <c r="M377" s="166" t="s">
        <v>826</v>
      </c>
      <c r="N377" s="167">
        <v>45662</v>
      </c>
      <c r="O377" s="166" t="s">
        <v>953</v>
      </c>
      <c r="P377" s="166"/>
      <c r="Q377" s="168"/>
      <c r="V377" s="9"/>
    </row>
    <row r="378" spans="1:22" s="142" customFormat="1" ht="12" customHeight="1" x14ac:dyDescent="0.2">
      <c r="A378" s="158">
        <v>119</v>
      </c>
      <c r="B378" s="159">
        <v>9999</v>
      </c>
      <c r="C378" s="158"/>
      <c r="D378" s="160" t="s">
        <v>957</v>
      </c>
      <c r="E378" s="161" t="s">
        <v>170</v>
      </c>
      <c r="F378" s="160" t="s">
        <v>95</v>
      </c>
      <c r="G378" s="160" t="s">
        <v>81</v>
      </c>
      <c r="H378" s="160" t="s">
        <v>945</v>
      </c>
      <c r="I378" s="162"/>
      <c r="J378" s="163"/>
      <c r="K378" s="164"/>
      <c r="L378" s="165"/>
      <c r="M378" s="166" t="s">
        <v>826</v>
      </c>
      <c r="N378" s="167">
        <v>45662</v>
      </c>
      <c r="O378" s="166" t="s">
        <v>953</v>
      </c>
      <c r="P378" s="166"/>
      <c r="Q378" s="168"/>
      <c r="V378" s="9"/>
    </row>
    <row r="379" spans="1:22" s="142" customFormat="1" ht="12" customHeight="1" x14ac:dyDescent="0.2">
      <c r="A379" s="158">
        <v>148</v>
      </c>
      <c r="B379" s="159">
        <v>9999</v>
      </c>
      <c r="C379" s="158"/>
      <c r="D379" s="160" t="s">
        <v>958</v>
      </c>
      <c r="E379" s="161" t="s">
        <v>959</v>
      </c>
      <c r="F379" s="160" t="s">
        <v>673</v>
      </c>
      <c r="G379" s="160" t="s">
        <v>33</v>
      </c>
      <c r="H379" s="160" t="s">
        <v>960</v>
      </c>
      <c r="I379" s="162"/>
      <c r="J379" s="163"/>
      <c r="K379" s="164"/>
      <c r="L379" s="165"/>
      <c r="M379" s="166" t="s">
        <v>826</v>
      </c>
      <c r="N379" s="167">
        <v>45662</v>
      </c>
      <c r="O379" s="166" t="s">
        <v>953</v>
      </c>
      <c r="P379" s="166"/>
      <c r="Q379" s="168"/>
      <c r="V379" s="9"/>
    </row>
    <row r="380" spans="1:22" s="142" customFormat="1" ht="12" customHeight="1" x14ac:dyDescent="0.2">
      <c r="A380" s="158">
        <v>184</v>
      </c>
      <c r="B380" s="159">
        <v>9999</v>
      </c>
      <c r="C380" s="158"/>
      <c r="D380" s="160" t="s">
        <v>961</v>
      </c>
      <c r="E380" s="161"/>
      <c r="F380" s="160" t="s">
        <v>66</v>
      </c>
      <c r="G380" s="160" t="s">
        <v>81</v>
      </c>
      <c r="H380" s="160"/>
      <c r="I380" s="162"/>
      <c r="J380" s="163"/>
      <c r="K380" s="164"/>
      <c r="L380" s="165"/>
      <c r="M380" s="166" t="s">
        <v>826</v>
      </c>
      <c r="N380" s="167">
        <v>45662</v>
      </c>
      <c r="O380" s="166" t="s">
        <v>953</v>
      </c>
      <c r="P380" s="166"/>
      <c r="Q380" s="168"/>
      <c r="V380" s="9"/>
    </row>
    <row r="381" spans="1:22" s="142" customFormat="1" ht="12" customHeight="1" x14ac:dyDescent="0.2">
      <c r="A381" s="158">
        <v>203</v>
      </c>
      <c r="B381" s="159">
        <v>9999</v>
      </c>
      <c r="C381" s="158"/>
      <c r="D381" s="160" t="s">
        <v>962</v>
      </c>
      <c r="E381" s="161" t="s">
        <v>170</v>
      </c>
      <c r="F381" s="160" t="s">
        <v>95</v>
      </c>
      <c r="G381" s="160" t="s">
        <v>81</v>
      </c>
      <c r="H381" s="160" t="s">
        <v>963</v>
      </c>
      <c r="I381" s="162"/>
      <c r="J381" s="163"/>
      <c r="K381" s="164"/>
      <c r="L381" s="165"/>
      <c r="M381" s="166" t="s">
        <v>826</v>
      </c>
      <c r="N381" s="167">
        <v>45662</v>
      </c>
      <c r="O381" s="166" t="s">
        <v>946</v>
      </c>
      <c r="P381" s="166"/>
      <c r="Q381" s="168"/>
      <c r="V381" s="9"/>
    </row>
    <row r="382" spans="1:22" s="142" customFormat="1" ht="12" customHeight="1" x14ac:dyDescent="0.2">
      <c r="A382" s="158">
        <v>231</v>
      </c>
      <c r="B382" s="159">
        <v>9999</v>
      </c>
      <c r="C382" s="158"/>
      <c r="D382" s="160" t="s">
        <v>964</v>
      </c>
      <c r="E382" s="161"/>
      <c r="F382" s="160" t="s">
        <v>239</v>
      </c>
      <c r="G382" s="160" t="s">
        <v>81</v>
      </c>
      <c r="H382" s="160" t="s">
        <v>965</v>
      </c>
      <c r="I382" s="162"/>
      <c r="J382" s="163"/>
      <c r="K382" s="164"/>
      <c r="L382" s="165"/>
      <c r="M382" s="166" t="s">
        <v>826</v>
      </c>
      <c r="N382" s="167">
        <v>45662</v>
      </c>
      <c r="O382" s="166" t="s">
        <v>966</v>
      </c>
      <c r="P382" s="166"/>
      <c r="Q382" s="168"/>
      <c r="V382" s="9"/>
    </row>
    <row r="383" spans="1:22" s="142" customFormat="1" ht="12" customHeight="1" x14ac:dyDescent="0.2">
      <c r="A383" s="158">
        <v>237</v>
      </c>
      <c r="B383" s="159">
        <v>9999</v>
      </c>
      <c r="C383" s="158"/>
      <c r="D383" s="160" t="s">
        <v>967</v>
      </c>
      <c r="E383" s="161" t="s">
        <v>201</v>
      </c>
      <c r="F383" s="160" t="s">
        <v>968</v>
      </c>
      <c r="G383" s="160" t="s">
        <v>181</v>
      </c>
      <c r="H383" s="160" t="s">
        <v>969</v>
      </c>
      <c r="I383" s="162"/>
      <c r="J383" s="163"/>
      <c r="K383" s="164"/>
      <c r="L383" s="165"/>
      <c r="M383" s="166" t="s">
        <v>826</v>
      </c>
      <c r="N383" s="167">
        <v>45662</v>
      </c>
      <c r="O383" s="166" t="s">
        <v>953</v>
      </c>
      <c r="P383" s="166"/>
      <c r="Q383" s="168"/>
      <c r="V383" s="9"/>
    </row>
    <row r="384" spans="1:22" s="142" customFormat="1" ht="12" customHeight="1" x14ac:dyDescent="0.2">
      <c r="A384" s="158">
        <v>240</v>
      </c>
      <c r="B384" s="159">
        <v>9999</v>
      </c>
      <c r="C384" s="158"/>
      <c r="D384" s="160" t="s">
        <v>970</v>
      </c>
      <c r="E384" s="161"/>
      <c r="F384" s="160" t="s">
        <v>205</v>
      </c>
      <c r="G384" s="160" t="s">
        <v>33</v>
      </c>
      <c r="H384" s="160" t="s">
        <v>955</v>
      </c>
      <c r="I384" s="162"/>
      <c r="J384" s="163"/>
      <c r="K384" s="164"/>
      <c r="L384" s="165"/>
      <c r="M384" s="166" t="s">
        <v>826</v>
      </c>
      <c r="N384" s="167">
        <v>45662</v>
      </c>
      <c r="O384" s="166" t="s">
        <v>946</v>
      </c>
      <c r="P384" s="166"/>
      <c r="Q384" s="168"/>
      <c r="V384" s="9"/>
    </row>
    <row r="385" spans="1:22" s="142" customFormat="1" ht="12" customHeight="1" x14ac:dyDescent="0.2">
      <c r="A385" s="158">
        <v>249</v>
      </c>
      <c r="B385" s="159">
        <v>9999</v>
      </c>
      <c r="C385" s="158"/>
      <c r="D385" s="160" t="s">
        <v>971</v>
      </c>
      <c r="E385" s="161"/>
      <c r="F385" s="160" t="s">
        <v>77</v>
      </c>
      <c r="G385" s="160" t="s">
        <v>81</v>
      </c>
      <c r="H385" s="160" t="s">
        <v>972</v>
      </c>
      <c r="I385" s="162"/>
      <c r="J385" s="163"/>
      <c r="K385" s="164"/>
      <c r="L385" s="165"/>
      <c r="M385" s="166" t="s">
        <v>826</v>
      </c>
      <c r="N385" s="167">
        <v>45662</v>
      </c>
      <c r="O385" s="166" t="s">
        <v>953</v>
      </c>
      <c r="P385" s="166"/>
      <c r="Q385" s="168"/>
      <c r="V385" s="9"/>
    </row>
    <row r="386" spans="1:22" s="142" customFormat="1" ht="12" customHeight="1" x14ac:dyDescent="0.2">
      <c r="A386" s="158">
        <v>252</v>
      </c>
      <c r="B386" s="159">
        <v>9999</v>
      </c>
      <c r="C386" s="158"/>
      <c r="D386" s="160" t="s">
        <v>973</v>
      </c>
      <c r="E386" s="161" t="s">
        <v>221</v>
      </c>
      <c r="F386" s="160" t="s">
        <v>127</v>
      </c>
      <c r="G386" s="160" t="s">
        <v>81</v>
      </c>
      <c r="H386" s="160" t="s">
        <v>974</v>
      </c>
      <c r="I386" s="162"/>
      <c r="J386" s="163"/>
      <c r="K386" s="164"/>
      <c r="L386" s="165"/>
      <c r="M386" s="166" t="s">
        <v>826</v>
      </c>
      <c r="N386" s="167">
        <v>45662</v>
      </c>
      <c r="O386" s="166" t="s">
        <v>946</v>
      </c>
      <c r="P386" s="166"/>
      <c r="Q386" s="168"/>
      <c r="V386" s="9"/>
    </row>
    <row r="387" spans="1:22" s="142" customFormat="1" ht="12" customHeight="1" x14ac:dyDescent="0.2">
      <c r="A387" s="158">
        <v>253</v>
      </c>
      <c r="B387" s="159">
        <v>9999</v>
      </c>
      <c r="C387" s="158"/>
      <c r="D387" s="160" t="s">
        <v>975</v>
      </c>
      <c r="E387" s="161" t="s">
        <v>221</v>
      </c>
      <c r="F387" s="160" t="s">
        <v>127</v>
      </c>
      <c r="G387" s="160" t="s">
        <v>81</v>
      </c>
      <c r="H387" s="160" t="s">
        <v>974</v>
      </c>
      <c r="I387" s="162"/>
      <c r="J387" s="163"/>
      <c r="K387" s="164"/>
      <c r="L387" s="165"/>
      <c r="M387" s="166" t="s">
        <v>826</v>
      </c>
      <c r="N387" s="167">
        <v>45662</v>
      </c>
      <c r="O387" s="166" t="s">
        <v>946</v>
      </c>
      <c r="P387" s="166"/>
      <c r="Q387" s="168"/>
      <c r="V387" s="9"/>
    </row>
    <row r="388" spans="1:22" s="142" customFormat="1" ht="12" customHeight="1" x14ac:dyDescent="0.2">
      <c r="A388" s="158">
        <v>6</v>
      </c>
      <c r="B388" s="159">
        <v>9999</v>
      </c>
      <c r="C388" s="158"/>
      <c r="D388" s="160" t="s">
        <v>976</v>
      </c>
      <c r="E388" s="161"/>
      <c r="F388" s="160" t="s">
        <v>341</v>
      </c>
      <c r="G388" s="160" t="s">
        <v>24</v>
      </c>
      <c r="H388" s="160" t="s">
        <v>977</v>
      </c>
      <c r="I388" s="169"/>
      <c r="J388" s="163"/>
      <c r="K388" s="164"/>
      <c r="L388" s="165"/>
      <c r="M388" s="166" t="s">
        <v>826</v>
      </c>
      <c r="N388" s="167">
        <v>45683</v>
      </c>
      <c r="O388" s="166" t="s">
        <v>966</v>
      </c>
      <c r="P388" s="166"/>
      <c r="Q388" s="168"/>
      <c r="V388" s="9"/>
    </row>
    <row r="389" spans="1:22" s="142" customFormat="1" ht="12" customHeight="1" x14ac:dyDescent="0.2">
      <c r="A389" s="158">
        <v>35</v>
      </c>
      <c r="B389" s="159">
        <v>9999</v>
      </c>
      <c r="C389" s="158"/>
      <c r="D389" s="160" t="s">
        <v>978</v>
      </c>
      <c r="E389" s="161"/>
      <c r="F389" s="160" t="s">
        <v>32</v>
      </c>
      <c r="G389" s="160" t="s">
        <v>33</v>
      </c>
      <c r="H389" s="160"/>
      <c r="I389" s="162"/>
      <c r="J389" s="163"/>
      <c r="K389" s="164"/>
      <c r="L389" s="165"/>
      <c r="M389" s="166" t="s">
        <v>826</v>
      </c>
      <c r="N389" s="167">
        <v>45683</v>
      </c>
      <c r="O389" s="166" t="s">
        <v>966</v>
      </c>
      <c r="P389" s="166"/>
      <c r="Q389" s="168"/>
      <c r="V389" s="9"/>
    </row>
    <row r="390" spans="1:22" s="142" customFormat="1" ht="12" customHeight="1" x14ac:dyDescent="0.2">
      <c r="A390" s="158">
        <v>199</v>
      </c>
      <c r="B390" s="159">
        <v>9999</v>
      </c>
      <c r="C390" s="158"/>
      <c r="D390" s="160" t="s">
        <v>979</v>
      </c>
      <c r="E390" s="161" t="s">
        <v>170</v>
      </c>
      <c r="F390" s="160" t="s">
        <v>161</v>
      </c>
      <c r="G390" s="160" t="s">
        <v>33</v>
      </c>
      <c r="H390" s="160" t="s">
        <v>980</v>
      </c>
      <c r="I390" s="162"/>
      <c r="J390" s="163"/>
      <c r="K390" s="164"/>
      <c r="L390" s="165"/>
      <c r="M390" s="166" t="s">
        <v>826</v>
      </c>
      <c r="N390" s="167">
        <v>45683</v>
      </c>
      <c r="O390" s="166" t="s">
        <v>966</v>
      </c>
      <c r="P390" s="166"/>
      <c r="Q390" s="168"/>
      <c r="V390" s="9"/>
    </row>
    <row r="391" spans="1:22" s="142" customFormat="1" ht="12" customHeight="1" x14ac:dyDescent="0.2">
      <c r="A391" s="158">
        <v>202</v>
      </c>
      <c r="B391" s="159">
        <v>9999</v>
      </c>
      <c r="C391" s="158"/>
      <c r="D391" s="160" t="s">
        <v>981</v>
      </c>
      <c r="E391" s="161" t="s">
        <v>170</v>
      </c>
      <c r="F391" s="160" t="s">
        <v>95</v>
      </c>
      <c r="G391" s="160" t="s">
        <v>33</v>
      </c>
      <c r="H391" s="160" t="s">
        <v>980</v>
      </c>
      <c r="I391" s="162"/>
      <c r="J391" s="163"/>
      <c r="K391" s="164"/>
      <c r="L391" s="165"/>
      <c r="M391" s="166" t="s">
        <v>826</v>
      </c>
      <c r="N391" s="167">
        <v>45683</v>
      </c>
      <c r="O391" s="166" t="s">
        <v>966</v>
      </c>
      <c r="P391" s="166"/>
      <c r="Q391" s="168"/>
      <c r="V391" s="9"/>
    </row>
    <row r="392" spans="1:22" s="142" customFormat="1" ht="12" customHeight="1" x14ac:dyDescent="0.2">
      <c r="A392" s="158">
        <v>221</v>
      </c>
      <c r="B392" s="159">
        <v>9999</v>
      </c>
      <c r="C392" s="158"/>
      <c r="D392" s="160" t="s">
        <v>982</v>
      </c>
      <c r="E392" s="161" t="s">
        <v>170</v>
      </c>
      <c r="F392" s="160" t="s">
        <v>95</v>
      </c>
      <c r="G392" s="160" t="s">
        <v>33</v>
      </c>
      <c r="H392" s="160" t="s">
        <v>980</v>
      </c>
      <c r="I392" s="162"/>
      <c r="J392" s="163"/>
      <c r="K392" s="164"/>
      <c r="L392" s="165"/>
      <c r="M392" s="166" t="s">
        <v>826</v>
      </c>
      <c r="N392" s="167">
        <v>45683</v>
      </c>
      <c r="O392" s="166" t="s">
        <v>966</v>
      </c>
      <c r="P392" s="166"/>
      <c r="Q392" s="168"/>
      <c r="V392" s="9">
        <v>7</v>
      </c>
    </row>
    <row r="393" spans="1:22" s="142" customFormat="1" ht="12" customHeight="1" x14ac:dyDescent="0.2">
      <c r="A393" s="158">
        <v>223</v>
      </c>
      <c r="B393" s="159">
        <v>9999</v>
      </c>
      <c r="C393" s="158"/>
      <c r="D393" s="160" t="s">
        <v>983</v>
      </c>
      <c r="E393" s="161" t="s">
        <v>170</v>
      </c>
      <c r="F393" s="160" t="s">
        <v>95</v>
      </c>
      <c r="G393" s="160" t="s">
        <v>33</v>
      </c>
      <c r="H393" s="160" t="s">
        <v>984</v>
      </c>
      <c r="I393" s="162"/>
      <c r="J393" s="163"/>
      <c r="K393" s="164"/>
      <c r="L393" s="165"/>
      <c r="M393" s="166" t="s">
        <v>826</v>
      </c>
      <c r="N393" s="167">
        <v>45683</v>
      </c>
      <c r="O393" s="166" t="s">
        <v>966</v>
      </c>
      <c r="P393" s="166"/>
      <c r="Q393" s="168"/>
      <c r="V393" s="9"/>
    </row>
    <row r="394" spans="1:22" s="142" customFormat="1" ht="12" customHeight="1" x14ac:dyDescent="0.2">
      <c r="A394" s="158">
        <v>224</v>
      </c>
      <c r="B394" s="159">
        <v>9999</v>
      </c>
      <c r="C394" s="158"/>
      <c r="D394" s="160" t="s">
        <v>985</v>
      </c>
      <c r="E394" s="161" t="s">
        <v>170</v>
      </c>
      <c r="F394" s="160" t="s">
        <v>95</v>
      </c>
      <c r="G394" s="160" t="s">
        <v>33</v>
      </c>
      <c r="H394" s="160" t="s">
        <v>984</v>
      </c>
      <c r="I394" s="162"/>
      <c r="J394" s="163"/>
      <c r="K394" s="164"/>
      <c r="L394" s="165"/>
      <c r="M394" s="166" t="s">
        <v>826</v>
      </c>
      <c r="N394" s="167">
        <v>45683</v>
      </c>
      <c r="O394" s="166" t="s">
        <v>966</v>
      </c>
      <c r="P394" s="166"/>
      <c r="Q394" s="168"/>
      <c r="V394" s="9"/>
    </row>
    <row r="395" spans="1:22" s="142" customFormat="1" ht="12" customHeight="1" x14ac:dyDescent="0.2">
      <c r="A395" s="158">
        <v>225</v>
      </c>
      <c r="B395" s="159">
        <v>9999</v>
      </c>
      <c r="C395" s="158"/>
      <c r="D395" s="160" t="s">
        <v>986</v>
      </c>
      <c r="E395" s="161" t="s">
        <v>170</v>
      </c>
      <c r="F395" s="160" t="s">
        <v>95</v>
      </c>
      <c r="G395" s="160" t="s">
        <v>33</v>
      </c>
      <c r="H395" s="160" t="s">
        <v>984</v>
      </c>
      <c r="I395" s="162"/>
      <c r="J395" s="163"/>
      <c r="K395" s="164"/>
      <c r="L395" s="165"/>
      <c r="M395" s="166" t="s">
        <v>826</v>
      </c>
      <c r="N395" s="167">
        <v>45683</v>
      </c>
      <c r="O395" s="166" t="s">
        <v>966</v>
      </c>
      <c r="P395" s="166"/>
      <c r="Q395" s="168"/>
      <c r="V395" s="9"/>
    </row>
    <row r="396" spans="1:22" s="142" customFormat="1" ht="12" customHeight="1" x14ac:dyDescent="0.2">
      <c r="A396" s="158">
        <v>259</v>
      </c>
      <c r="B396" s="159">
        <v>9999</v>
      </c>
      <c r="C396" s="158"/>
      <c r="D396" s="160" t="s">
        <v>987</v>
      </c>
      <c r="E396" s="161" t="s">
        <v>988</v>
      </c>
      <c r="F396" s="160" t="s">
        <v>148</v>
      </c>
      <c r="G396" s="160" t="s">
        <v>24</v>
      </c>
      <c r="H396" s="160" t="s">
        <v>989</v>
      </c>
      <c r="I396" s="162"/>
      <c r="J396" s="163"/>
      <c r="K396" s="164"/>
      <c r="L396" s="165"/>
      <c r="M396" s="166" t="s">
        <v>826</v>
      </c>
      <c r="N396" s="167">
        <v>45683</v>
      </c>
      <c r="O396" s="166" t="s">
        <v>966</v>
      </c>
      <c r="P396" s="166"/>
      <c r="Q396" s="168"/>
      <c r="V396" s="9">
        <v>1</v>
      </c>
    </row>
    <row r="397" spans="1:22" s="142" customFormat="1" ht="12" customHeight="1" x14ac:dyDescent="0.2">
      <c r="A397" s="158">
        <v>265</v>
      </c>
      <c r="B397" s="159">
        <v>9999</v>
      </c>
      <c r="C397" s="158"/>
      <c r="D397" s="160" t="s">
        <v>990</v>
      </c>
      <c r="E397" s="161"/>
      <c r="F397" s="160" t="s">
        <v>991</v>
      </c>
      <c r="G397" s="160" t="s">
        <v>388</v>
      </c>
      <c r="H397" s="160"/>
      <c r="I397" s="162"/>
      <c r="J397" s="163"/>
      <c r="K397" s="164"/>
      <c r="L397" s="165"/>
      <c r="M397" s="166" t="s">
        <v>826</v>
      </c>
      <c r="N397" s="167">
        <v>45683</v>
      </c>
      <c r="O397" s="166" t="s">
        <v>966</v>
      </c>
      <c r="P397" s="166"/>
      <c r="Q397" s="168"/>
      <c r="V397" s="9"/>
    </row>
    <row r="398" spans="1:22" s="142" customFormat="1" ht="12" customHeight="1" x14ac:dyDescent="0.2">
      <c r="A398" s="158">
        <v>268</v>
      </c>
      <c r="B398" s="159">
        <v>9999</v>
      </c>
      <c r="C398" s="158"/>
      <c r="D398" s="160" t="s">
        <v>992</v>
      </c>
      <c r="E398" s="161"/>
      <c r="F398" s="160" t="s">
        <v>993</v>
      </c>
      <c r="G398" s="160" t="s">
        <v>388</v>
      </c>
      <c r="H398" s="160" t="s">
        <v>989</v>
      </c>
      <c r="I398" s="162"/>
      <c r="J398" s="163"/>
      <c r="K398" s="164"/>
      <c r="L398" s="165"/>
      <c r="M398" s="166" t="s">
        <v>826</v>
      </c>
      <c r="N398" s="167">
        <v>45683</v>
      </c>
      <c r="O398" s="166" t="s">
        <v>966</v>
      </c>
      <c r="P398" s="166"/>
      <c r="Q398" s="168"/>
      <c r="V398" s="9"/>
    </row>
    <row r="399" spans="1:22" s="142" customFormat="1" ht="12" customHeight="1" x14ac:dyDescent="0.2">
      <c r="A399" s="158">
        <v>204</v>
      </c>
      <c r="B399" s="159">
        <v>9999</v>
      </c>
      <c r="C399" s="158"/>
      <c r="D399" s="160" t="s">
        <v>994</v>
      </c>
      <c r="E399" s="161" t="s">
        <v>170</v>
      </c>
      <c r="F399" s="160" t="s">
        <v>95</v>
      </c>
      <c r="G399" s="160" t="s">
        <v>81</v>
      </c>
      <c r="H399" s="160" t="s">
        <v>995</v>
      </c>
      <c r="I399" s="162"/>
      <c r="J399" s="163"/>
      <c r="K399" s="164"/>
      <c r="L399" s="165"/>
      <c r="M399" s="166" t="s">
        <v>826</v>
      </c>
      <c r="N399" s="167">
        <v>45689</v>
      </c>
      <c r="O399" s="166"/>
      <c r="P399" s="166"/>
      <c r="Q399" s="168"/>
      <c r="V399" s="9"/>
    </row>
    <row r="400" spans="1:22" s="142" customFormat="1" ht="12" customHeight="1" x14ac:dyDescent="0.2">
      <c r="A400" s="158">
        <v>16</v>
      </c>
      <c r="B400" s="159">
        <v>9999</v>
      </c>
      <c r="C400" s="158"/>
      <c r="D400" s="160" t="s">
        <v>996</v>
      </c>
      <c r="E400" s="161"/>
      <c r="F400" s="160" t="s">
        <v>519</v>
      </c>
      <c r="G400" s="160" t="s">
        <v>81</v>
      </c>
      <c r="H400" s="160" t="s">
        <v>997</v>
      </c>
      <c r="I400" s="162"/>
      <c r="J400" s="163"/>
      <c r="K400" s="164"/>
      <c r="L400" s="165"/>
      <c r="M400" s="166" t="s">
        <v>826</v>
      </c>
      <c r="N400" s="167">
        <v>45711</v>
      </c>
      <c r="O400" s="166" t="s">
        <v>998</v>
      </c>
      <c r="P400" s="166"/>
      <c r="Q400" s="168"/>
      <c r="V400" s="9"/>
    </row>
    <row r="401" spans="1:22" s="142" customFormat="1" ht="12" customHeight="1" x14ac:dyDescent="0.2">
      <c r="A401" s="158">
        <v>20</v>
      </c>
      <c r="B401" s="159">
        <v>9999</v>
      </c>
      <c r="C401" s="158"/>
      <c r="D401" s="160" t="s">
        <v>999</v>
      </c>
      <c r="E401" s="161"/>
      <c r="F401" s="160" t="s">
        <v>239</v>
      </c>
      <c r="G401" s="160" t="s">
        <v>81</v>
      </c>
      <c r="H401" s="160"/>
      <c r="I401" s="162"/>
      <c r="J401" s="163"/>
      <c r="K401" s="164"/>
      <c r="L401" s="165"/>
      <c r="M401" s="166" t="s">
        <v>826</v>
      </c>
      <c r="N401" s="167">
        <v>45711</v>
      </c>
      <c r="O401" s="166" t="s">
        <v>998</v>
      </c>
      <c r="P401" s="166"/>
      <c r="Q401" s="168"/>
      <c r="V401" s="9"/>
    </row>
    <row r="402" spans="1:22" s="142" customFormat="1" ht="12" customHeight="1" x14ac:dyDescent="0.2">
      <c r="A402" s="158">
        <v>33</v>
      </c>
      <c r="B402" s="159">
        <v>9999</v>
      </c>
      <c r="C402" s="158"/>
      <c r="D402" s="160" t="s">
        <v>1000</v>
      </c>
      <c r="E402" s="161"/>
      <c r="F402" s="160" t="s">
        <v>32</v>
      </c>
      <c r="G402" s="160" t="s">
        <v>81</v>
      </c>
      <c r="H402" s="160" t="s">
        <v>1001</v>
      </c>
      <c r="I402" s="162"/>
      <c r="J402" s="163"/>
      <c r="K402" s="164"/>
      <c r="L402" s="165"/>
      <c r="M402" s="166" t="s">
        <v>826</v>
      </c>
      <c r="N402" s="167">
        <v>45711</v>
      </c>
      <c r="O402" s="166" t="s">
        <v>998</v>
      </c>
      <c r="P402" s="166"/>
      <c r="Q402" s="168"/>
      <c r="V402" s="9"/>
    </row>
    <row r="403" spans="1:22" s="142" customFormat="1" ht="12" customHeight="1" x14ac:dyDescent="0.2">
      <c r="A403" s="158">
        <v>129</v>
      </c>
      <c r="B403" s="159">
        <v>9999</v>
      </c>
      <c r="C403" s="158"/>
      <c r="D403" s="160" t="s">
        <v>1002</v>
      </c>
      <c r="E403" s="161" t="s">
        <v>121</v>
      </c>
      <c r="F403" s="160" t="s">
        <v>1003</v>
      </c>
      <c r="G403" s="160" t="s">
        <v>181</v>
      </c>
      <c r="H403" s="160" t="s">
        <v>1004</v>
      </c>
      <c r="I403" s="162"/>
      <c r="J403" s="163"/>
      <c r="K403" s="164"/>
      <c r="L403" s="165"/>
      <c r="M403" s="166" t="s">
        <v>826</v>
      </c>
      <c r="N403" s="167">
        <v>45711</v>
      </c>
      <c r="O403" s="166" t="s">
        <v>998</v>
      </c>
      <c r="P403" s="166"/>
      <c r="Q403" s="168"/>
      <c r="V403" s="9"/>
    </row>
    <row r="404" spans="1:22" s="142" customFormat="1" ht="12" customHeight="1" x14ac:dyDescent="0.2">
      <c r="A404" s="158">
        <v>179</v>
      </c>
      <c r="B404" s="159">
        <v>9999</v>
      </c>
      <c r="C404" s="158"/>
      <c r="D404" s="160" t="s">
        <v>1005</v>
      </c>
      <c r="E404" s="161"/>
      <c r="F404" s="160" t="s">
        <v>66</v>
      </c>
      <c r="G404" s="160" t="s">
        <v>81</v>
      </c>
      <c r="H404" s="160"/>
      <c r="I404" s="162"/>
      <c r="J404" s="163"/>
      <c r="K404" s="164"/>
      <c r="L404" s="165"/>
      <c r="M404" s="166" t="s">
        <v>826</v>
      </c>
      <c r="N404" s="167">
        <v>45711</v>
      </c>
      <c r="O404" s="166" t="s">
        <v>998</v>
      </c>
      <c r="P404" s="166"/>
      <c r="Q404" s="168"/>
      <c r="V404" s="9"/>
    </row>
    <row r="405" spans="1:22" s="142" customFormat="1" ht="12" customHeight="1" x14ac:dyDescent="0.2">
      <c r="A405" s="158">
        <v>208</v>
      </c>
      <c r="B405" s="159">
        <v>9999</v>
      </c>
      <c r="C405" s="158"/>
      <c r="D405" s="160" t="s">
        <v>1006</v>
      </c>
      <c r="E405" s="161"/>
      <c r="F405" s="160" t="s">
        <v>66</v>
      </c>
      <c r="G405" s="160" t="s">
        <v>81</v>
      </c>
      <c r="H405" s="160"/>
      <c r="I405" s="162"/>
      <c r="J405" s="163"/>
      <c r="K405" s="164"/>
      <c r="L405" s="165"/>
      <c r="M405" s="166" t="s">
        <v>826</v>
      </c>
      <c r="N405" s="167">
        <v>45711</v>
      </c>
      <c r="O405" s="166" t="s">
        <v>998</v>
      </c>
      <c r="P405" s="166"/>
      <c r="Q405" s="168"/>
      <c r="V405" s="9"/>
    </row>
    <row r="406" spans="1:22" s="142" customFormat="1" ht="12" customHeight="1" x14ac:dyDescent="0.2">
      <c r="A406" s="158">
        <v>209</v>
      </c>
      <c r="B406" s="159">
        <v>9999</v>
      </c>
      <c r="C406" s="158"/>
      <c r="D406" s="160" t="s">
        <v>1007</v>
      </c>
      <c r="E406" s="161"/>
      <c r="F406" s="160" t="s">
        <v>66</v>
      </c>
      <c r="G406" s="160" t="s">
        <v>81</v>
      </c>
      <c r="H406" s="160"/>
      <c r="I406" s="162"/>
      <c r="J406" s="163"/>
      <c r="K406" s="164"/>
      <c r="L406" s="165"/>
      <c r="M406" s="166" t="s">
        <v>826</v>
      </c>
      <c r="N406" s="167">
        <v>45711</v>
      </c>
      <c r="O406" s="166" t="s">
        <v>998</v>
      </c>
      <c r="P406" s="166"/>
      <c r="Q406" s="168"/>
      <c r="V406" s="9"/>
    </row>
    <row r="407" spans="1:22" s="142" customFormat="1" ht="12" customHeight="1" x14ac:dyDescent="0.2">
      <c r="A407" s="158">
        <v>230</v>
      </c>
      <c r="B407" s="159">
        <v>9999</v>
      </c>
      <c r="C407" s="158"/>
      <c r="D407" s="160" t="s">
        <v>1008</v>
      </c>
      <c r="E407" s="161"/>
      <c r="F407" s="160" t="s">
        <v>1009</v>
      </c>
      <c r="G407" s="160" t="s">
        <v>81</v>
      </c>
      <c r="H407" s="160" t="s">
        <v>1010</v>
      </c>
      <c r="I407" s="162"/>
      <c r="J407" s="163"/>
      <c r="K407" s="164"/>
      <c r="L407" s="165"/>
      <c r="M407" s="166" t="s">
        <v>826</v>
      </c>
      <c r="N407" s="167">
        <v>45711</v>
      </c>
      <c r="O407" s="166" t="s">
        <v>998</v>
      </c>
      <c r="P407" s="166"/>
      <c r="Q407" s="168"/>
      <c r="V407" s="9"/>
    </row>
    <row r="408" spans="1:22" s="142" customFormat="1" ht="12" customHeight="1" x14ac:dyDescent="0.2">
      <c r="A408" s="158">
        <v>269</v>
      </c>
      <c r="B408" s="159">
        <v>9999</v>
      </c>
      <c r="C408" s="158"/>
      <c r="D408" s="160" t="s">
        <v>1011</v>
      </c>
      <c r="E408" s="161"/>
      <c r="F408" s="160" t="s">
        <v>239</v>
      </c>
      <c r="G408" s="160" t="s">
        <v>181</v>
      </c>
      <c r="H408" s="160"/>
      <c r="I408" s="162"/>
      <c r="J408" s="163"/>
      <c r="K408" s="164"/>
      <c r="L408" s="165"/>
      <c r="M408" s="166" t="s">
        <v>826</v>
      </c>
      <c r="N408" s="167">
        <v>45711</v>
      </c>
      <c r="O408" s="166" t="s">
        <v>998</v>
      </c>
      <c r="P408" s="166"/>
      <c r="Q408" s="168"/>
      <c r="V408" s="9"/>
    </row>
    <row r="409" spans="1:22" s="142" customFormat="1" ht="12" customHeight="1" x14ac:dyDescent="0.2">
      <c r="A409" s="158">
        <v>272</v>
      </c>
      <c r="B409" s="159">
        <v>9999</v>
      </c>
      <c r="C409" s="158"/>
      <c r="D409" s="160" t="s">
        <v>1012</v>
      </c>
      <c r="E409" s="161"/>
      <c r="F409" s="160" t="s">
        <v>665</v>
      </c>
      <c r="G409" s="160" t="s">
        <v>33</v>
      </c>
      <c r="H409" s="160" t="s">
        <v>890</v>
      </c>
      <c r="I409" s="162"/>
      <c r="J409" s="163"/>
      <c r="K409" s="164"/>
      <c r="L409" s="165"/>
      <c r="M409" s="166" t="s">
        <v>826</v>
      </c>
      <c r="N409" s="167">
        <v>45711</v>
      </c>
      <c r="O409" s="166" t="s">
        <v>998</v>
      </c>
      <c r="P409" s="166"/>
      <c r="Q409" s="168"/>
      <c r="V409" s="9"/>
    </row>
    <row r="410" spans="1:22" s="142" customFormat="1" ht="12" customHeight="1" x14ac:dyDescent="0.2">
      <c r="A410" s="158">
        <v>354</v>
      </c>
      <c r="B410" s="159">
        <v>9999</v>
      </c>
      <c r="C410" s="158"/>
      <c r="D410" s="160" t="s">
        <v>1013</v>
      </c>
      <c r="E410" s="161" t="s">
        <v>80</v>
      </c>
      <c r="F410" s="160" t="s">
        <v>236</v>
      </c>
      <c r="G410" s="160" t="s">
        <v>181</v>
      </c>
      <c r="H410" s="160" t="s">
        <v>1014</v>
      </c>
      <c r="I410" s="162"/>
      <c r="J410" s="163"/>
      <c r="K410" s="164"/>
      <c r="L410" s="165"/>
      <c r="M410" s="166" t="s">
        <v>826</v>
      </c>
      <c r="N410" s="167">
        <v>45711</v>
      </c>
      <c r="O410" s="166" t="s">
        <v>998</v>
      </c>
      <c r="P410" s="166"/>
      <c r="Q410" s="168"/>
      <c r="V410" s="9"/>
    </row>
    <row r="411" spans="1:22" s="142" customFormat="1" ht="12" customHeight="1" x14ac:dyDescent="0.2">
      <c r="A411" s="158">
        <v>289</v>
      </c>
      <c r="B411" s="159">
        <v>9999</v>
      </c>
      <c r="C411" s="158"/>
      <c r="D411" s="160" t="s">
        <v>1015</v>
      </c>
      <c r="E411" s="161"/>
      <c r="F411" s="160"/>
      <c r="G411" s="160"/>
      <c r="H411" s="160"/>
      <c r="I411" s="162"/>
      <c r="J411" s="163"/>
      <c r="K411" s="164"/>
      <c r="L411" s="165"/>
      <c r="M411" s="166" t="s">
        <v>826</v>
      </c>
      <c r="N411" s="167">
        <v>45716</v>
      </c>
      <c r="O411" s="166" t="s">
        <v>1016</v>
      </c>
      <c r="P411" s="166"/>
      <c r="Q411" s="168"/>
      <c r="V411" s="9"/>
    </row>
    <row r="412" spans="1:22" s="142" customFormat="1" ht="12" customHeight="1" x14ac:dyDescent="0.2">
      <c r="A412" s="158">
        <v>55</v>
      </c>
      <c r="B412" s="159">
        <v>9999</v>
      </c>
      <c r="C412" s="158"/>
      <c r="D412" s="160" t="s">
        <v>1017</v>
      </c>
      <c r="E412" s="161" t="s">
        <v>1018</v>
      </c>
      <c r="F412" s="160" t="s">
        <v>1019</v>
      </c>
      <c r="G412" s="160" t="s">
        <v>181</v>
      </c>
      <c r="H412" s="160" t="s">
        <v>1020</v>
      </c>
      <c r="I412" s="162"/>
      <c r="J412" s="163"/>
      <c r="K412" s="164"/>
      <c r="L412" s="165"/>
      <c r="M412" s="166" t="s">
        <v>826</v>
      </c>
      <c r="N412" s="167">
        <v>45746</v>
      </c>
      <c r="O412" s="166" t="s">
        <v>1021</v>
      </c>
      <c r="P412" s="166"/>
      <c r="Q412" s="168"/>
      <c r="V412" s="9"/>
    </row>
    <row r="413" spans="1:22" s="142" customFormat="1" ht="12" customHeight="1" x14ac:dyDescent="0.2">
      <c r="A413" s="158">
        <v>214</v>
      </c>
      <c r="B413" s="159">
        <v>9999</v>
      </c>
      <c r="C413" s="158"/>
      <c r="D413" s="160" t="s">
        <v>1022</v>
      </c>
      <c r="E413" s="161"/>
      <c r="F413" s="160" t="s">
        <v>341</v>
      </c>
      <c r="G413" s="160" t="s">
        <v>33</v>
      </c>
      <c r="H413" s="160" t="s">
        <v>1023</v>
      </c>
      <c r="I413" s="162"/>
      <c r="J413" s="163"/>
      <c r="K413" s="164"/>
      <c r="L413" s="165"/>
      <c r="M413" s="166" t="s">
        <v>826</v>
      </c>
      <c r="N413" s="167">
        <v>45746</v>
      </c>
      <c r="O413" s="166" t="s">
        <v>1021</v>
      </c>
      <c r="P413" s="166"/>
      <c r="Q413" s="168"/>
      <c r="V413" s="9"/>
    </row>
    <row r="414" spans="1:22" s="142" customFormat="1" ht="12" customHeight="1" x14ac:dyDescent="0.2">
      <c r="A414" s="158">
        <v>256</v>
      </c>
      <c r="B414" s="159">
        <v>9999</v>
      </c>
      <c r="C414" s="158"/>
      <c r="D414" s="160" t="s">
        <v>1024</v>
      </c>
      <c r="E414" s="161" t="s">
        <v>221</v>
      </c>
      <c r="F414" s="160" t="s">
        <v>1025</v>
      </c>
      <c r="G414" s="160" t="s">
        <v>24</v>
      </c>
      <c r="H414" s="160" t="s">
        <v>385</v>
      </c>
      <c r="I414" s="162"/>
      <c r="J414" s="163"/>
      <c r="K414" s="164"/>
      <c r="L414" s="165"/>
      <c r="M414" s="166" t="s">
        <v>826</v>
      </c>
      <c r="N414" s="167">
        <v>45746</v>
      </c>
      <c r="O414" s="166" t="s">
        <v>1021</v>
      </c>
      <c r="P414" s="166"/>
      <c r="Q414" s="168"/>
      <c r="V414" s="9"/>
    </row>
    <row r="415" spans="1:22" s="142" customFormat="1" ht="12" customHeight="1" x14ac:dyDescent="0.2">
      <c r="A415" s="158">
        <v>278</v>
      </c>
      <c r="B415" s="159">
        <v>9999</v>
      </c>
      <c r="C415" s="158"/>
      <c r="D415" s="160" t="s">
        <v>1026</v>
      </c>
      <c r="E415" s="161" t="s">
        <v>1027</v>
      </c>
      <c r="F415" s="160" t="s">
        <v>850</v>
      </c>
      <c r="G415" s="160" t="s">
        <v>24</v>
      </c>
      <c r="H415" s="160" t="s">
        <v>1028</v>
      </c>
      <c r="I415" s="162"/>
      <c r="J415" s="163"/>
      <c r="K415" s="164"/>
      <c r="L415" s="165"/>
      <c r="M415" s="166" t="s">
        <v>826</v>
      </c>
      <c r="N415" s="167">
        <v>45746</v>
      </c>
      <c r="O415" s="166" t="s">
        <v>1021</v>
      </c>
      <c r="P415" s="166"/>
      <c r="Q415" s="168"/>
      <c r="V415" s="9"/>
    </row>
    <row r="416" spans="1:22" s="142" customFormat="1" ht="12" customHeight="1" x14ac:dyDescent="0.2">
      <c r="A416" s="158">
        <v>279</v>
      </c>
      <c r="B416" s="159">
        <v>9999</v>
      </c>
      <c r="C416" s="158"/>
      <c r="D416" s="160" t="s">
        <v>1029</v>
      </c>
      <c r="E416" s="161"/>
      <c r="F416" s="160" t="s">
        <v>32</v>
      </c>
      <c r="G416" s="160"/>
      <c r="H416" s="160" t="s">
        <v>1030</v>
      </c>
      <c r="I416" s="162"/>
      <c r="J416" s="163"/>
      <c r="K416" s="164"/>
      <c r="L416" s="165"/>
      <c r="M416" s="166" t="s">
        <v>826</v>
      </c>
      <c r="N416" s="167">
        <v>45746</v>
      </c>
      <c r="O416" s="166" t="s">
        <v>1021</v>
      </c>
      <c r="P416" s="166"/>
      <c r="Q416" s="168"/>
      <c r="V416" s="9"/>
    </row>
    <row r="417" spans="1:22" s="142" customFormat="1" ht="12" customHeight="1" x14ac:dyDescent="0.2">
      <c r="A417" s="158">
        <v>284</v>
      </c>
      <c r="B417" s="159">
        <v>9999</v>
      </c>
      <c r="C417" s="158"/>
      <c r="D417" s="160" t="s">
        <v>1031</v>
      </c>
      <c r="E417" s="161"/>
      <c r="F417" s="160" t="s">
        <v>66</v>
      </c>
      <c r="G417" s="160" t="s">
        <v>24</v>
      </c>
      <c r="H417" s="160" t="s">
        <v>1032</v>
      </c>
      <c r="I417" s="162"/>
      <c r="J417" s="163"/>
      <c r="K417" s="164"/>
      <c r="L417" s="165"/>
      <c r="M417" s="166" t="s">
        <v>826</v>
      </c>
      <c r="N417" s="167">
        <v>45746</v>
      </c>
      <c r="O417" s="166" t="s">
        <v>1021</v>
      </c>
      <c r="P417" s="166"/>
      <c r="Q417" s="168"/>
      <c r="V417" s="9"/>
    </row>
    <row r="418" spans="1:22" s="142" customFormat="1" ht="12" customHeight="1" x14ac:dyDescent="0.2">
      <c r="A418" s="158">
        <v>285</v>
      </c>
      <c r="B418" s="159">
        <v>9999</v>
      </c>
      <c r="C418" s="158"/>
      <c r="D418" s="160" t="s">
        <v>1033</v>
      </c>
      <c r="E418" s="161"/>
      <c r="F418" s="160" t="s">
        <v>1034</v>
      </c>
      <c r="G418" s="160" t="s">
        <v>33</v>
      </c>
      <c r="H418" s="160"/>
      <c r="I418" s="162"/>
      <c r="J418" s="163"/>
      <c r="K418" s="164"/>
      <c r="L418" s="165"/>
      <c r="M418" s="166" t="s">
        <v>826</v>
      </c>
      <c r="N418" s="167">
        <v>45746</v>
      </c>
      <c r="O418" s="166" t="s">
        <v>1021</v>
      </c>
      <c r="P418" s="166"/>
      <c r="Q418" s="168"/>
      <c r="V418" s="9"/>
    </row>
    <row r="419" spans="1:22" s="142" customFormat="1" ht="12" customHeight="1" x14ac:dyDescent="0.2">
      <c r="A419" s="158">
        <v>291</v>
      </c>
      <c r="B419" s="159">
        <v>9999</v>
      </c>
      <c r="C419" s="158"/>
      <c r="D419" s="160" t="s">
        <v>1035</v>
      </c>
      <c r="E419" s="161" t="s">
        <v>1036</v>
      </c>
      <c r="F419" s="160" t="s">
        <v>341</v>
      </c>
      <c r="G419" s="160" t="s">
        <v>24</v>
      </c>
      <c r="H419" s="160" t="s">
        <v>1037</v>
      </c>
      <c r="I419" s="162"/>
      <c r="J419" s="163"/>
      <c r="K419" s="164"/>
      <c r="L419" s="165"/>
      <c r="M419" s="166" t="s">
        <v>826</v>
      </c>
      <c r="N419" s="167">
        <v>45746</v>
      </c>
      <c r="O419" s="166" t="s">
        <v>1021</v>
      </c>
      <c r="P419" s="166"/>
      <c r="Q419" s="168"/>
      <c r="V419" s="9"/>
    </row>
    <row r="420" spans="1:22" s="142" customFormat="1" ht="12" customHeight="1" x14ac:dyDescent="0.2">
      <c r="A420" s="158">
        <v>295</v>
      </c>
      <c r="B420" s="159">
        <v>9999</v>
      </c>
      <c r="C420" s="158"/>
      <c r="D420" s="160" t="s">
        <v>1038</v>
      </c>
      <c r="E420" s="161"/>
      <c r="F420" s="160" t="s">
        <v>1039</v>
      </c>
      <c r="G420" s="160" t="s">
        <v>33</v>
      </c>
      <c r="H420" s="160" t="s">
        <v>1040</v>
      </c>
      <c r="I420" s="162"/>
      <c r="J420" s="163"/>
      <c r="K420" s="164"/>
      <c r="L420" s="165"/>
      <c r="M420" s="166" t="s">
        <v>826</v>
      </c>
      <c r="N420" s="167">
        <v>45746</v>
      </c>
      <c r="O420" s="166" t="s">
        <v>1021</v>
      </c>
      <c r="P420" s="166"/>
      <c r="Q420" s="168"/>
      <c r="V420" s="9"/>
    </row>
    <row r="421" spans="1:22" s="142" customFormat="1" ht="12" customHeight="1" x14ac:dyDescent="0.2">
      <c r="A421" s="158">
        <v>110</v>
      </c>
      <c r="B421" s="159">
        <v>9999</v>
      </c>
      <c r="C421" s="158"/>
      <c r="D421" s="160" t="s">
        <v>1041</v>
      </c>
      <c r="E421" s="161"/>
      <c r="F421" s="160" t="s">
        <v>32</v>
      </c>
      <c r="G421" s="160" t="s">
        <v>81</v>
      </c>
      <c r="H421" s="160"/>
      <c r="I421" s="162"/>
      <c r="J421" s="163"/>
      <c r="K421" s="164"/>
      <c r="L421" s="165"/>
      <c r="M421" s="166" t="s">
        <v>826</v>
      </c>
      <c r="N421" s="167">
        <v>45770</v>
      </c>
      <c r="O421" s="166" t="s">
        <v>1042</v>
      </c>
      <c r="P421" s="166"/>
      <c r="Q421" s="168"/>
      <c r="V421" s="9"/>
    </row>
    <row r="422" spans="1:22" s="142" customFormat="1" ht="12" customHeight="1" x14ac:dyDescent="0.2">
      <c r="A422" s="158">
        <v>192</v>
      </c>
      <c r="B422" s="159">
        <v>9999</v>
      </c>
      <c r="C422" s="158"/>
      <c r="D422" s="160" t="s">
        <v>1043</v>
      </c>
      <c r="E422" s="161"/>
      <c r="F422" s="160" t="s">
        <v>320</v>
      </c>
      <c r="G422" s="160" t="s">
        <v>181</v>
      </c>
      <c r="H422" s="160" t="s">
        <v>1044</v>
      </c>
      <c r="I422" s="162"/>
      <c r="J422" s="163"/>
      <c r="K422" s="164"/>
      <c r="L422" s="165"/>
      <c r="M422" s="166" t="s">
        <v>826</v>
      </c>
      <c r="N422" s="167">
        <v>45770</v>
      </c>
      <c r="O422" s="166" t="s">
        <v>1042</v>
      </c>
      <c r="P422" s="166"/>
      <c r="Q422" s="168"/>
      <c r="V422" s="9"/>
    </row>
    <row r="423" spans="1:22" s="142" customFormat="1" ht="12" customHeight="1" x14ac:dyDescent="0.2">
      <c r="A423" s="158">
        <v>254</v>
      </c>
      <c r="B423" s="159">
        <v>9999</v>
      </c>
      <c r="C423" s="158"/>
      <c r="D423" s="160" t="s">
        <v>1045</v>
      </c>
      <c r="E423" s="161"/>
      <c r="F423" s="160" t="s">
        <v>341</v>
      </c>
      <c r="G423" s="160" t="s">
        <v>33</v>
      </c>
      <c r="H423" s="160" t="s">
        <v>1046</v>
      </c>
      <c r="I423" s="162"/>
      <c r="J423" s="163"/>
      <c r="K423" s="164"/>
      <c r="L423" s="165"/>
      <c r="M423" s="166" t="s">
        <v>826</v>
      </c>
      <c r="N423" s="167">
        <v>45770</v>
      </c>
      <c r="O423" s="166" t="s">
        <v>1042</v>
      </c>
      <c r="P423" s="166"/>
      <c r="Q423" s="168"/>
      <c r="V423" s="9"/>
    </row>
    <row r="424" spans="1:22" s="142" customFormat="1" ht="12" customHeight="1" x14ac:dyDescent="0.2">
      <c r="A424" s="158">
        <v>273</v>
      </c>
      <c r="B424" s="159">
        <v>9999</v>
      </c>
      <c r="C424" s="158"/>
      <c r="D424" s="160" t="s">
        <v>1047</v>
      </c>
      <c r="E424" s="161"/>
      <c r="F424" s="160" t="s">
        <v>1048</v>
      </c>
      <c r="G424" s="160" t="s">
        <v>24</v>
      </c>
      <c r="H424" s="160" t="s">
        <v>1049</v>
      </c>
      <c r="I424" s="162"/>
      <c r="J424" s="163"/>
      <c r="K424" s="164"/>
      <c r="L424" s="165"/>
      <c r="M424" s="166" t="s">
        <v>826</v>
      </c>
      <c r="N424" s="167">
        <v>45770</v>
      </c>
      <c r="O424" s="166" t="s">
        <v>1042</v>
      </c>
      <c r="P424" s="166"/>
      <c r="Q424" s="168"/>
      <c r="V424" s="9"/>
    </row>
    <row r="425" spans="1:22" s="142" customFormat="1" ht="12" customHeight="1" x14ac:dyDescent="0.2">
      <c r="A425" s="158">
        <v>313</v>
      </c>
      <c r="B425" s="159">
        <v>9999</v>
      </c>
      <c r="C425" s="158"/>
      <c r="D425" s="160" t="s">
        <v>1050</v>
      </c>
      <c r="E425" s="161" t="s">
        <v>543</v>
      </c>
      <c r="F425" s="160" t="s">
        <v>341</v>
      </c>
      <c r="G425" s="160" t="s">
        <v>24</v>
      </c>
      <c r="H425" s="160" t="s">
        <v>1051</v>
      </c>
      <c r="I425" s="162"/>
      <c r="J425" s="163"/>
      <c r="K425" s="164"/>
      <c r="L425" s="165"/>
      <c r="M425" s="166" t="s">
        <v>826</v>
      </c>
      <c r="N425" s="167">
        <v>45770</v>
      </c>
      <c r="O425" s="166" t="s">
        <v>1042</v>
      </c>
      <c r="P425" s="166"/>
      <c r="Q425" s="168"/>
      <c r="V425" s="9"/>
    </row>
    <row r="426" spans="1:22" s="142" customFormat="1" ht="12" customHeight="1" x14ac:dyDescent="0.2">
      <c r="A426" s="158">
        <v>321</v>
      </c>
      <c r="B426" s="159">
        <v>9999</v>
      </c>
      <c r="C426" s="158"/>
      <c r="D426" s="160" t="s">
        <v>1052</v>
      </c>
      <c r="E426" s="161"/>
      <c r="F426" s="160" t="s">
        <v>1053</v>
      </c>
      <c r="G426" s="160"/>
      <c r="H426" s="160" t="s">
        <v>1054</v>
      </c>
      <c r="I426" s="162"/>
      <c r="J426" s="163"/>
      <c r="K426" s="164"/>
      <c r="L426" s="165"/>
      <c r="M426" s="166" t="s">
        <v>826</v>
      </c>
      <c r="N426" s="167">
        <v>45770</v>
      </c>
      <c r="O426" s="166" t="s">
        <v>1042</v>
      </c>
      <c r="P426" s="166"/>
      <c r="Q426" s="168"/>
      <c r="V426" s="9"/>
    </row>
    <row r="427" spans="1:22" s="142" customFormat="1" ht="12" customHeight="1" x14ac:dyDescent="0.2">
      <c r="A427" s="158">
        <v>339</v>
      </c>
      <c r="B427" s="159">
        <v>9999</v>
      </c>
      <c r="C427" s="158"/>
      <c r="D427" s="160" t="s">
        <v>1055</v>
      </c>
      <c r="E427" s="161" t="s">
        <v>80</v>
      </c>
      <c r="F427" s="160" t="s">
        <v>341</v>
      </c>
      <c r="G427" s="160"/>
      <c r="H427" s="160"/>
      <c r="I427" s="162"/>
      <c r="J427" s="163"/>
      <c r="K427" s="164"/>
      <c r="L427" s="165"/>
      <c r="M427" s="166" t="s">
        <v>826</v>
      </c>
      <c r="N427" s="167">
        <v>45770</v>
      </c>
      <c r="O427" s="166" t="s">
        <v>1042</v>
      </c>
      <c r="P427" s="166"/>
      <c r="Q427" s="168"/>
      <c r="V427" s="9"/>
    </row>
    <row r="428" spans="1:22" s="142" customFormat="1" ht="12" customHeight="1" x14ac:dyDescent="0.2">
      <c r="A428" s="158">
        <v>340</v>
      </c>
      <c r="B428" s="159">
        <v>9999</v>
      </c>
      <c r="C428" s="158"/>
      <c r="D428" s="160" t="s">
        <v>1056</v>
      </c>
      <c r="E428" s="161" t="s">
        <v>80</v>
      </c>
      <c r="F428" s="160" t="s">
        <v>161</v>
      </c>
      <c r="G428" s="160"/>
      <c r="H428" s="160"/>
      <c r="I428" s="162"/>
      <c r="J428" s="163"/>
      <c r="K428" s="164"/>
      <c r="L428" s="165"/>
      <c r="M428" s="166" t="s">
        <v>826</v>
      </c>
      <c r="N428" s="167">
        <v>45770</v>
      </c>
      <c r="O428" s="166" t="s">
        <v>1042</v>
      </c>
      <c r="P428" s="166"/>
      <c r="Q428" s="168"/>
      <c r="V428" s="9"/>
    </row>
    <row r="429" spans="1:22" s="142" customFormat="1" ht="12" customHeight="1" x14ac:dyDescent="0.2">
      <c r="A429" s="158">
        <v>341</v>
      </c>
      <c r="B429" s="159">
        <v>9999</v>
      </c>
      <c r="C429" s="158"/>
      <c r="D429" s="160" t="s">
        <v>1057</v>
      </c>
      <c r="E429" s="161"/>
      <c r="F429" s="160" t="s">
        <v>32</v>
      </c>
      <c r="G429" s="160" t="s">
        <v>33</v>
      </c>
      <c r="H429" s="160" t="s">
        <v>286</v>
      </c>
      <c r="I429" s="162"/>
      <c r="J429" s="163"/>
      <c r="K429" s="164"/>
      <c r="L429" s="165"/>
      <c r="M429" s="166" t="s">
        <v>826</v>
      </c>
      <c r="N429" s="167">
        <v>45770</v>
      </c>
      <c r="O429" s="166" t="s">
        <v>1042</v>
      </c>
      <c r="P429" s="166"/>
      <c r="Q429" s="168"/>
      <c r="V429" s="9"/>
    </row>
    <row r="430" spans="1:22" s="142" customFormat="1" ht="12" customHeight="1" x14ac:dyDescent="0.2">
      <c r="A430" s="158">
        <v>342</v>
      </c>
      <c r="B430" s="159">
        <v>9999</v>
      </c>
      <c r="C430" s="158"/>
      <c r="D430" s="160" t="s">
        <v>1058</v>
      </c>
      <c r="E430" s="161"/>
      <c r="F430" s="160" t="s">
        <v>161</v>
      </c>
      <c r="G430" s="160"/>
      <c r="H430" s="160"/>
      <c r="I430" s="162"/>
      <c r="J430" s="163"/>
      <c r="K430" s="164"/>
      <c r="L430" s="165"/>
      <c r="M430" s="166" t="s">
        <v>826</v>
      </c>
      <c r="N430" s="167">
        <v>45770</v>
      </c>
      <c r="O430" s="166" t="s">
        <v>1042</v>
      </c>
      <c r="P430" s="166"/>
      <c r="Q430" s="168"/>
      <c r="V430" s="9"/>
    </row>
    <row r="431" spans="1:22" s="142" customFormat="1" ht="12" customHeight="1" x14ac:dyDescent="0.2">
      <c r="A431" s="158">
        <v>343</v>
      </c>
      <c r="B431" s="159">
        <v>9999</v>
      </c>
      <c r="C431" s="158"/>
      <c r="D431" s="160" t="s">
        <v>1059</v>
      </c>
      <c r="E431" s="161"/>
      <c r="F431" s="160" t="s">
        <v>205</v>
      </c>
      <c r="G431" s="160"/>
      <c r="H431" s="160"/>
      <c r="I431" s="162"/>
      <c r="J431" s="163"/>
      <c r="K431" s="164"/>
      <c r="L431" s="165"/>
      <c r="M431" s="166" t="s">
        <v>826</v>
      </c>
      <c r="N431" s="167">
        <v>45770</v>
      </c>
      <c r="O431" s="166" t="s">
        <v>1042</v>
      </c>
      <c r="P431" s="166"/>
      <c r="Q431" s="168"/>
      <c r="V431" s="9"/>
    </row>
    <row r="432" spans="1:22" s="142" customFormat="1" ht="12" customHeight="1" x14ac:dyDescent="0.2">
      <c r="A432" s="158">
        <v>344</v>
      </c>
      <c r="B432" s="159">
        <v>9999</v>
      </c>
      <c r="C432" s="158"/>
      <c r="D432" s="160" t="s">
        <v>1060</v>
      </c>
      <c r="E432" s="161"/>
      <c r="F432" s="160" t="s">
        <v>161</v>
      </c>
      <c r="G432" s="160"/>
      <c r="H432" s="160"/>
      <c r="I432" s="162"/>
      <c r="J432" s="163"/>
      <c r="K432" s="164"/>
      <c r="L432" s="165"/>
      <c r="M432" s="166" t="s">
        <v>826</v>
      </c>
      <c r="N432" s="167">
        <v>45770</v>
      </c>
      <c r="O432" s="166" t="s">
        <v>1042</v>
      </c>
      <c r="P432" s="166"/>
      <c r="Q432" s="168"/>
      <c r="V432" s="9"/>
    </row>
    <row r="433" spans="1:22" s="142" customFormat="1" ht="12" customHeight="1" x14ac:dyDescent="0.2">
      <c r="A433" s="158">
        <v>345</v>
      </c>
      <c r="B433" s="159">
        <v>9999</v>
      </c>
      <c r="C433" s="158"/>
      <c r="D433" s="160" t="s">
        <v>1061</v>
      </c>
      <c r="E433" s="161"/>
      <c r="F433" s="160" t="s">
        <v>32</v>
      </c>
      <c r="G433" s="160" t="s">
        <v>33</v>
      </c>
      <c r="H433" s="160" t="s">
        <v>286</v>
      </c>
      <c r="I433" s="162"/>
      <c r="J433" s="163"/>
      <c r="K433" s="164"/>
      <c r="L433" s="165"/>
      <c r="M433" s="166" t="s">
        <v>826</v>
      </c>
      <c r="N433" s="167">
        <v>45770</v>
      </c>
      <c r="O433" s="166" t="s">
        <v>1042</v>
      </c>
      <c r="P433" s="166"/>
      <c r="Q433" s="168"/>
      <c r="V433" s="9"/>
    </row>
    <row r="434" spans="1:22" s="142" customFormat="1" ht="12" customHeight="1" x14ac:dyDescent="0.2">
      <c r="A434" s="158">
        <v>346</v>
      </c>
      <c r="B434" s="159">
        <v>9999</v>
      </c>
      <c r="C434" s="158"/>
      <c r="D434" s="160" t="s">
        <v>1062</v>
      </c>
      <c r="E434" s="161"/>
      <c r="F434" s="160" t="s">
        <v>161</v>
      </c>
      <c r="G434" s="160"/>
      <c r="H434" s="160"/>
      <c r="I434" s="162"/>
      <c r="J434" s="163"/>
      <c r="K434" s="164"/>
      <c r="L434" s="165"/>
      <c r="M434" s="166" t="s">
        <v>826</v>
      </c>
      <c r="N434" s="167">
        <v>45770</v>
      </c>
      <c r="O434" s="166" t="s">
        <v>1042</v>
      </c>
      <c r="P434" s="166"/>
      <c r="Q434" s="168"/>
      <c r="V434" s="9"/>
    </row>
    <row r="435" spans="1:22" s="142" customFormat="1" ht="12" customHeight="1" x14ac:dyDescent="0.2">
      <c r="A435" s="158">
        <v>293</v>
      </c>
      <c r="B435" s="159">
        <v>9999</v>
      </c>
      <c r="C435" s="158"/>
      <c r="D435" s="160" t="s">
        <v>1063</v>
      </c>
      <c r="E435" s="161" t="s">
        <v>66</v>
      </c>
      <c r="F435" s="160" t="s">
        <v>66</v>
      </c>
      <c r="G435" s="160"/>
      <c r="H435" s="160" t="s">
        <v>1064</v>
      </c>
      <c r="I435" s="162"/>
      <c r="J435" s="163"/>
      <c r="K435" s="164"/>
      <c r="L435" s="165"/>
      <c r="M435" s="166" t="s">
        <v>826</v>
      </c>
      <c r="N435" s="167">
        <v>45780</v>
      </c>
      <c r="O435" s="166" t="s">
        <v>1042</v>
      </c>
      <c r="P435" s="166"/>
      <c r="Q435" s="168"/>
      <c r="V435" s="9"/>
    </row>
    <row r="436" spans="1:22" s="142" customFormat="1" ht="12" customHeight="1" x14ac:dyDescent="0.2">
      <c r="A436" s="158">
        <v>25</v>
      </c>
      <c r="B436" s="159">
        <v>9999</v>
      </c>
      <c r="C436" s="158"/>
      <c r="D436" s="160" t="s">
        <v>1065</v>
      </c>
      <c r="E436" s="161" t="s">
        <v>543</v>
      </c>
      <c r="F436" s="160" t="s">
        <v>32</v>
      </c>
      <c r="G436" s="160" t="s">
        <v>33</v>
      </c>
      <c r="H436" s="160" t="s">
        <v>286</v>
      </c>
      <c r="I436" s="162"/>
      <c r="J436" s="163"/>
      <c r="K436" s="164"/>
      <c r="L436" s="165"/>
      <c r="M436" s="166" t="s">
        <v>826</v>
      </c>
      <c r="N436" s="167">
        <v>45805</v>
      </c>
      <c r="O436" s="166" t="s">
        <v>1066</v>
      </c>
      <c r="P436" s="166"/>
      <c r="Q436" s="168"/>
      <c r="V436" s="9"/>
    </row>
    <row r="437" spans="1:22" s="142" customFormat="1" ht="12" customHeight="1" x14ac:dyDescent="0.2">
      <c r="A437" s="158">
        <v>64</v>
      </c>
      <c r="B437" s="159">
        <v>9999</v>
      </c>
      <c r="C437" s="158"/>
      <c r="D437" s="160" t="s">
        <v>1067</v>
      </c>
      <c r="E437" s="161"/>
      <c r="F437" s="160" t="s">
        <v>32</v>
      </c>
      <c r="G437" s="160" t="s">
        <v>181</v>
      </c>
      <c r="H437" s="160"/>
      <c r="I437" s="162"/>
      <c r="J437" s="163"/>
      <c r="K437" s="164"/>
      <c r="L437" s="165"/>
      <c r="M437" s="166" t="s">
        <v>826</v>
      </c>
      <c r="N437" s="167">
        <v>45805</v>
      </c>
      <c r="O437" s="166" t="s">
        <v>1066</v>
      </c>
      <c r="P437" s="166"/>
      <c r="Q437" s="168"/>
      <c r="V437" s="9"/>
    </row>
    <row r="438" spans="1:22" s="142" customFormat="1" ht="12" customHeight="1" x14ac:dyDescent="0.2">
      <c r="A438" s="158">
        <v>87</v>
      </c>
      <c r="B438" s="159">
        <v>9999</v>
      </c>
      <c r="C438" s="158"/>
      <c r="D438" s="160" t="s">
        <v>1068</v>
      </c>
      <c r="E438" s="161" t="s">
        <v>201</v>
      </c>
      <c r="F438" s="160" t="s">
        <v>161</v>
      </c>
      <c r="G438" s="160" t="s">
        <v>81</v>
      </c>
      <c r="H438" s="160"/>
      <c r="I438" s="162"/>
      <c r="J438" s="163"/>
      <c r="K438" s="164"/>
      <c r="L438" s="165"/>
      <c r="M438" s="166" t="s">
        <v>826</v>
      </c>
      <c r="N438" s="167">
        <v>45805</v>
      </c>
      <c r="O438" s="166" t="s">
        <v>1066</v>
      </c>
      <c r="P438" s="166"/>
      <c r="Q438" s="168"/>
      <c r="V438" s="9"/>
    </row>
    <row r="439" spans="1:22" s="142" customFormat="1" ht="12" customHeight="1" x14ac:dyDescent="0.2">
      <c r="A439" s="158">
        <v>88</v>
      </c>
      <c r="B439" s="159">
        <v>9999</v>
      </c>
      <c r="C439" s="158"/>
      <c r="D439" s="160" t="s">
        <v>1069</v>
      </c>
      <c r="E439" s="161" t="s">
        <v>201</v>
      </c>
      <c r="F439" s="160" t="s">
        <v>161</v>
      </c>
      <c r="G439" s="160" t="s">
        <v>81</v>
      </c>
      <c r="H439" s="160"/>
      <c r="I439" s="162"/>
      <c r="J439" s="163"/>
      <c r="K439" s="164"/>
      <c r="L439" s="165"/>
      <c r="M439" s="166" t="s">
        <v>826</v>
      </c>
      <c r="N439" s="167">
        <v>45805</v>
      </c>
      <c r="O439" s="166" t="s">
        <v>1066</v>
      </c>
      <c r="P439" s="166"/>
      <c r="Q439" s="168"/>
      <c r="V439" s="9"/>
    </row>
    <row r="440" spans="1:22" s="142" customFormat="1" ht="12" customHeight="1" x14ac:dyDescent="0.2">
      <c r="A440" s="158">
        <v>89</v>
      </c>
      <c r="B440" s="159">
        <v>9999</v>
      </c>
      <c r="C440" s="158"/>
      <c r="D440" s="160" t="s">
        <v>1070</v>
      </c>
      <c r="E440" s="161" t="s">
        <v>201</v>
      </c>
      <c r="F440" s="160" t="s">
        <v>161</v>
      </c>
      <c r="G440" s="160" t="s">
        <v>81</v>
      </c>
      <c r="H440" s="160"/>
      <c r="I440" s="162"/>
      <c r="J440" s="163"/>
      <c r="K440" s="164"/>
      <c r="L440" s="165"/>
      <c r="M440" s="166" t="s">
        <v>826</v>
      </c>
      <c r="N440" s="167">
        <v>45805</v>
      </c>
      <c r="O440" s="166" t="s">
        <v>1066</v>
      </c>
      <c r="P440" s="166"/>
      <c r="Q440" s="168"/>
      <c r="V440" s="9"/>
    </row>
    <row r="441" spans="1:22" s="142" customFormat="1" ht="12" customHeight="1" x14ac:dyDescent="0.2">
      <c r="A441" s="158">
        <v>100</v>
      </c>
      <c r="B441" s="159">
        <v>9999</v>
      </c>
      <c r="C441" s="158"/>
      <c r="D441" s="160" t="s">
        <v>1071</v>
      </c>
      <c r="E441" s="161"/>
      <c r="F441" s="160" t="s">
        <v>205</v>
      </c>
      <c r="G441" s="160" t="s">
        <v>181</v>
      </c>
      <c r="H441" s="160" t="s">
        <v>1072</v>
      </c>
      <c r="I441" s="162"/>
      <c r="J441" s="163"/>
      <c r="K441" s="164"/>
      <c r="L441" s="165"/>
      <c r="M441" s="166" t="s">
        <v>826</v>
      </c>
      <c r="N441" s="167">
        <v>45805</v>
      </c>
      <c r="O441" s="166" t="s">
        <v>1066</v>
      </c>
      <c r="P441" s="166"/>
      <c r="Q441" s="168"/>
      <c r="V441" s="9"/>
    </row>
    <row r="442" spans="1:22" s="142" customFormat="1" ht="12" customHeight="1" x14ac:dyDescent="0.2">
      <c r="A442" s="158">
        <v>213</v>
      </c>
      <c r="B442" s="159">
        <v>9999</v>
      </c>
      <c r="C442" s="158"/>
      <c r="D442" s="160" t="s">
        <v>1073</v>
      </c>
      <c r="E442" s="161"/>
      <c r="F442" s="160" t="s">
        <v>341</v>
      </c>
      <c r="G442" s="160" t="s">
        <v>33</v>
      </c>
      <c r="H442" s="160" t="s">
        <v>1023</v>
      </c>
      <c r="I442" s="162"/>
      <c r="J442" s="163"/>
      <c r="K442" s="164"/>
      <c r="L442" s="165"/>
      <c r="M442" s="166" t="s">
        <v>826</v>
      </c>
      <c r="N442" s="167">
        <v>45805</v>
      </c>
      <c r="O442" s="166" t="s">
        <v>1066</v>
      </c>
      <c r="P442" s="166"/>
      <c r="Q442" s="168"/>
      <c r="V442" s="9"/>
    </row>
    <row r="443" spans="1:22" s="142" customFormat="1" ht="12" customHeight="1" x14ac:dyDescent="0.2">
      <c r="A443" s="158">
        <v>271</v>
      </c>
      <c r="B443" s="159">
        <v>9999</v>
      </c>
      <c r="C443" s="158"/>
      <c r="D443" s="160" t="s">
        <v>1074</v>
      </c>
      <c r="E443" s="161" t="s">
        <v>1075</v>
      </c>
      <c r="F443" s="160" t="s">
        <v>1076</v>
      </c>
      <c r="G443" s="160" t="s">
        <v>24</v>
      </c>
      <c r="H443" s="160" t="s">
        <v>1077</v>
      </c>
      <c r="I443" s="162"/>
      <c r="J443" s="163"/>
      <c r="K443" s="164"/>
      <c r="L443" s="165"/>
      <c r="M443" s="166" t="s">
        <v>826</v>
      </c>
      <c r="N443" s="167">
        <v>45805</v>
      </c>
      <c r="O443" s="166" t="s">
        <v>1066</v>
      </c>
      <c r="P443" s="166"/>
      <c r="Q443" s="168"/>
      <c r="V443" s="9"/>
    </row>
    <row r="444" spans="1:22" s="142" customFormat="1" ht="12" customHeight="1" x14ac:dyDescent="0.2">
      <c r="A444" s="158">
        <v>294</v>
      </c>
      <c r="B444" s="159">
        <v>9999</v>
      </c>
      <c r="C444" s="158"/>
      <c r="D444" s="160" t="s">
        <v>1078</v>
      </c>
      <c r="E444" s="161"/>
      <c r="F444" s="160" t="s">
        <v>1079</v>
      </c>
      <c r="G444" s="160"/>
      <c r="H444" s="160" t="s">
        <v>1080</v>
      </c>
      <c r="I444" s="162"/>
      <c r="J444" s="163"/>
      <c r="K444" s="164"/>
      <c r="L444" s="165"/>
      <c r="M444" s="166" t="s">
        <v>826</v>
      </c>
      <c r="N444" s="167">
        <v>45805</v>
      </c>
      <c r="O444" s="166" t="s">
        <v>1066</v>
      </c>
      <c r="P444" s="166"/>
      <c r="Q444" s="168"/>
      <c r="V444" s="9"/>
    </row>
    <row r="445" spans="1:22" s="142" customFormat="1" ht="12" customHeight="1" x14ac:dyDescent="0.2">
      <c r="A445" s="158">
        <v>306</v>
      </c>
      <c r="B445" s="159">
        <v>9999</v>
      </c>
      <c r="C445" s="158"/>
      <c r="D445" s="160" t="s">
        <v>1081</v>
      </c>
      <c r="E445" s="161"/>
      <c r="F445" s="160" t="s">
        <v>205</v>
      </c>
      <c r="G445" s="160"/>
      <c r="H445" s="160" t="s">
        <v>1082</v>
      </c>
      <c r="I445" s="162"/>
      <c r="J445" s="163"/>
      <c r="K445" s="164"/>
      <c r="L445" s="165"/>
      <c r="M445" s="166" t="s">
        <v>826</v>
      </c>
      <c r="N445" s="167">
        <v>45805</v>
      </c>
      <c r="O445" s="166" t="s">
        <v>1066</v>
      </c>
      <c r="P445" s="166"/>
      <c r="Q445" s="168"/>
      <c r="V445" s="9"/>
    </row>
    <row r="446" spans="1:22" s="142" customFormat="1" ht="12" customHeight="1" x14ac:dyDescent="0.2">
      <c r="A446" s="158">
        <v>307</v>
      </c>
      <c r="B446" s="159">
        <v>9999</v>
      </c>
      <c r="C446" s="158"/>
      <c r="D446" s="160" t="s">
        <v>1083</v>
      </c>
      <c r="E446" s="161"/>
      <c r="F446" s="160" t="s">
        <v>205</v>
      </c>
      <c r="G446" s="160"/>
      <c r="H446" s="160" t="s">
        <v>393</v>
      </c>
      <c r="I446" s="162"/>
      <c r="J446" s="163"/>
      <c r="K446" s="164"/>
      <c r="L446" s="165"/>
      <c r="M446" s="166" t="s">
        <v>826</v>
      </c>
      <c r="N446" s="167">
        <v>45805</v>
      </c>
      <c r="O446" s="166" t="s">
        <v>1066</v>
      </c>
      <c r="P446" s="166"/>
      <c r="Q446" s="168"/>
      <c r="V446" s="9"/>
    </row>
    <row r="447" spans="1:22" s="142" customFormat="1" ht="12" customHeight="1" x14ac:dyDescent="0.2">
      <c r="A447" s="158">
        <v>317</v>
      </c>
      <c r="B447" s="159">
        <v>9999</v>
      </c>
      <c r="C447" s="158"/>
      <c r="D447" s="160" t="s">
        <v>1084</v>
      </c>
      <c r="E447" s="161"/>
      <c r="F447" s="160" t="s">
        <v>77</v>
      </c>
      <c r="G447" s="160" t="s">
        <v>24</v>
      </c>
      <c r="H447" s="160" t="s">
        <v>1085</v>
      </c>
      <c r="I447" s="162"/>
      <c r="J447" s="163"/>
      <c r="K447" s="164"/>
      <c r="L447" s="165"/>
      <c r="M447" s="166" t="s">
        <v>826</v>
      </c>
      <c r="N447" s="167">
        <v>45805</v>
      </c>
      <c r="O447" s="166" t="s">
        <v>1066</v>
      </c>
      <c r="P447" s="166"/>
      <c r="Q447" s="168"/>
      <c r="V447" s="9"/>
    </row>
    <row r="448" spans="1:22" s="142" customFormat="1" ht="12" customHeight="1" x14ac:dyDescent="0.2">
      <c r="A448" s="158">
        <v>318</v>
      </c>
      <c r="B448" s="159">
        <v>9999</v>
      </c>
      <c r="C448" s="158"/>
      <c r="D448" s="160" t="s">
        <v>1086</v>
      </c>
      <c r="E448" s="161" t="s">
        <v>543</v>
      </c>
      <c r="F448" s="160" t="s">
        <v>673</v>
      </c>
      <c r="G448" s="160" t="s">
        <v>24</v>
      </c>
      <c r="H448" s="160" t="s">
        <v>1087</v>
      </c>
      <c r="I448" s="162"/>
      <c r="J448" s="163"/>
      <c r="K448" s="164"/>
      <c r="L448" s="165"/>
      <c r="M448" s="166" t="s">
        <v>826</v>
      </c>
      <c r="N448" s="167">
        <v>45805</v>
      </c>
      <c r="O448" s="166" t="s">
        <v>1066</v>
      </c>
      <c r="P448" s="166"/>
      <c r="Q448" s="168"/>
      <c r="V448" s="9"/>
    </row>
    <row r="449" spans="1:22" s="142" customFormat="1" ht="12" customHeight="1" x14ac:dyDescent="0.2">
      <c r="A449" s="158">
        <v>322</v>
      </c>
      <c r="B449" s="159">
        <v>9999</v>
      </c>
      <c r="C449" s="158"/>
      <c r="D449" s="160" t="s">
        <v>1088</v>
      </c>
      <c r="E449" s="161"/>
      <c r="F449" s="160" t="s">
        <v>898</v>
      </c>
      <c r="G449" s="160" t="s">
        <v>24</v>
      </c>
      <c r="H449" s="160"/>
      <c r="I449" s="162"/>
      <c r="J449" s="163"/>
      <c r="K449" s="164"/>
      <c r="L449" s="165"/>
      <c r="M449" s="166" t="s">
        <v>826</v>
      </c>
      <c r="N449" s="167">
        <v>45805</v>
      </c>
      <c r="O449" s="166" t="s">
        <v>1066</v>
      </c>
      <c r="P449" s="166"/>
      <c r="Q449" s="168"/>
      <c r="V449" s="9"/>
    </row>
    <row r="450" spans="1:22" s="142" customFormat="1" ht="12" customHeight="1" x14ac:dyDescent="0.2">
      <c r="A450" s="158">
        <v>325</v>
      </c>
      <c r="B450" s="159">
        <v>9999</v>
      </c>
      <c r="C450" s="158"/>
      <c r="D450" s="160" t="s">
        <v>1089</v>
      </c>
      <c r="E450" s="161" t="s">
        <v>1090</v>
      </c>
      <c r="F450" s="160" t="s">
        <v>616</v>
      </c>
      <c r="G450" s="160" t="s">
        <v>24</v>
      </c>
      <c r="H450" s="160" t="s">
        <v>1091</v>
      </c>
      <c r="I450" s="162"/>
      <c r="J450" s="163"/>
      <c r="K450" s="164"/>
      <c r="L450" s="165"/>
      <c r="M450" s="166" t="s">
        <v>826</v>
      </c>
      <c r="N450" s="167">
        <v>45805</v>
      </c>
      <c r="O450" s="166" t="s">
        <v>1066</v>
      </c>
      <c r="P450" s="166"/>
      <c r="Q450" s="168"/>
      <c r="V450" s="9"/>
    </row>
    <row r="451" spans="1:22" s="142" customFormat="1" ht="12" customHeight="1" x14ac:dyDescent="0.2">
      <c r="A451" s="158">
        <v>329</v>
      </c>
      <c r="B451" s="159">
        <v>9999</v>
      </c>
      <c r="C451" s="158"/>
      <c r="D451" s="160" t="s">
        <v>1092</v>
      </c>
      <c r="E451" s="161" t="s">
        <v>264</v>
      </c>
      <c r="F451" s="160" t="s">
        <v>1093</v>
      </c>
      <c r="G451" s="160" t="s">
        <v>33</v>
      </c>
      <c r="H451" s="160"/>
      <c r="I451" s="162"/>
      <c r="J451" s="163"/>
      <c r="K451" s="164"/>
      <c r="L451" s="165"/>
      <c r="M451" s="166" t="s">
        <v>826</v>
      </c>
      <c r="N451" s="167">
        <v>45805</v>
      </c>
      <c r="O451" s="166" t="s">
        <v>1066</v>
      </c>
      <c r="P451" s="166"/>
      <c r="Q451" s="168"/>
      <c r="V451" s="9"/>
    </row>
    <row r="452" spans="1:22" s="142" customFormat="1" ht="12" customHeight="1" x14ac:dyDescent="0.2">
      <c r="A452" s="158">
        <v>331</v>
      </c>
      <c r="B452" s="159">
        <v>9999</v>
      </c>
      <c r="C452" s="158"/>
      <c r="D452" s="160" t="s">
        <v>1094</v>
      </c>
      <c r="E452" s="161" t="s">
        <v>80</v>
      </c>
      <c r="F452" s="160" t="s">
        <v>161</v>
      </c>
      <c r="G452" s="160"/>
      <c r="H452" s="160"/>
      <c r="I452" s="162"/>
      <c r="J452" s="163"/>
      <c r="K452" s="164"/>
      <c r="L452" s="165"/>
      <c r="M452" s="166" t="s">
        <v>826</v>
      </c>
      <c r="N452" s="167">
        <v>45805</v>
      </c>
      <c r="O452" s="166" t="s">
        <v>1066</v>
      </c>
      <c r="P452" s="166"/>
      <c r="Q452" s="168"/>
      <c r="V452" s="9"/>
    </row>
    <row r="453" spans="1:22" s="142" customFormat="1" ht="12" customHeight="1" x14ac:dyDescent="0.2">
      <c r="A453" s="158">
        <v>332</v>
      </c>
      <c r="B453" s="159">
        <v>9999</v>
      </c>
      <c r="C453" s="158"/>
      <c r="D453" s="160" t="s">
        <v>1095</v>
      </c>
      <c r="E453" s="161"/>
      <c r="F453" s="160" t="s">
        <v>161</v>
      </c>
      <c r="G453" s="160"/>
      <c r="H453" s="160"/>
      <c r="I453" s="162"/>
      <c r="J453" s="163"/>
      <c r="K453" s="164"/>
      <c r="L453" s="165"/>
      <c r="M453" s="166" t="s">
        <v>826</v>
      </c>
      <c r="N453" s="167">
        <v>45805</v>
      </c>
      <c r="O453" s="166" t="s">
        <v>1066</v>
      </c>
      <c r="P453" s="166"/>
      <c r="Q453" s="168"/>
      <c r="V453" s="9"/>
    </row>
    <row r="454" spans="1:22" s="142" customFormat="1" ht="12" customHeight="1" x14ac:dyDescent="0.2">
      <c r="A454" s="158">
        <v>334</v>
      </c>
      <c r="B454" s="159">
        <v>9999</v>
      </c>
      <c r="C454" s="158"/>
      <c r="D454" s="160" t="s">
        <v>1096</v>
      </c>
      <c r="E454" s="161"/>
      <c r="F454" s="160" t="s">
        <v>239</v>
      </c>
      <c r="G454" s="160"/>
      <c r="H454" s="160" t="s">
        <v>1097</v>
      </c>
      <c r="I454" s="162"/>
      <c r="J454" s="163"/>
      <c r="K454" s="164"/>
      <c r="L454" s="165"/>
      <c r="M454" s="166" t="s">
        <v>826</v>
      </c>
      <c r="N454" s="167">
        <v>45805</v>
      </c>
      <c r="O454" s="166" t="s">
        <v>1066</v>
      </c>
      <c r="P454" s="166"/>
      <c r="Q454" s="168"/>
      <c r="V454" s="9"/>
    </row>
    <row r="455" spans="1:22" s="142" customFormat="1" ht="12" customHeight="1" x14ac:dyDescent="0.2">
      <c r="A455" s="158">
        <v>335</v>
      </c>
      <c r="B455" s="159">
        <v>9999</v>
      </c>
      <c r="C455" s="158"/>
      <c r="D455" s="160" t="s">
        <v>1098</v>
      </c>
      <c r="E455" s="161"/>
      <c r="F455" s="160" t="s">
        <v>239</v>
      </c>
      <c r="G455" s="160"/>
      <c r="H455" s="160"/>
      <c r="I455" s="162"/>
      <c r="J455" s="163"/>
      <c r="K455" s="164"/>
      <c r="L455" s="165"/>
      <c r="M455" s="166" t="s">
        <v>826</v>
      </c>
      <c r="N455" s="167">
        <v>45805</v>
      </c>
      <c r="O455" s="166" t="s">
        <v>1066</v>
      </c>
      <c r="P455" s="166"/>
      <c r="Q455" s="168"/>
      <c r="V455" s="9"/>
    </row>
    <row r="456" spans="1:22" s="142" customFormat="1" ht="12" customHeight="1" x14ac:dyDescent="0.2">
      <c r="A456" s="158">
        <v>336</v>
      </c>
      <c r="B456" s="159">
        <v>9999</v>
      </c>
      <c r="C456" s="158"/>
      <c r="D456" s="160" t="s">
        <v>1099</v>
      </c>
      <c r="E456" s="161"/>
      <c r="F456" s="160" t="s">
        <v>161</v>
      </c>
      <c r="G456" s="160"/>
      <c r="H456" s="160"/>
      <c r="I456" s="162"/>
      <c r="J456" s="163"/>
      <c r="K456" s="164"/>
      <c r="L456" s="165"/>
      <c r="M456" s="166" t="s">
        <v>826</v>
      </c>
      <c r="N456" s="167">
        <v>45805</v>
      </c>
      <c r="O456" s="166" t="s">
        <v>1066</v>
      </c>
      <c r="P456" s="166"/>
      <c r="Q456" s="168"/>
      <c r="V456" s="9"/>
    </row>
    <row r="457" spans="1:22" s="142" customFormat="1" ht="12" customHeight="1" x14ac:dyDescent="0.2">
      <c r="A457" s="158">
        <v>337</v>
      </c>
      <c r="B457" s="159">
        <v>9999</v>
      </c>
      <c r="C457" s="158"/>
      <c r="D457" s="160" t="s">
        <v>1100</v>
      </c>
      <c r="E457" s="161"/>
      <c r="F457" s="160" t="s">
        <v>32</v>
      </c>
      <c r="G457" s="160"/>
      <c r="H457" s="160"/>
      <c r="I457" s="162"/>
      <c r="J457" s="163"/>
      <c r="K457" s="164"/>
      <c r="L457" s="165"/>
      <c r="M457" s="166" t="s">
        <v>826</v>
      </c>
      <c r="N457" s="167">
        <v>45805</v>
      </c>
      <c r="O457" s="166" t="s">
        <v>1066</v>
      </c>
      <c r="P457" s="166"/>
      <c r="Q457" s="168"/>
      <c r="V457" s="9"/>
    </row>
    <row r="458" spans="1:22" s="142" customFormat="1" ht="12" customHeight="1" x14ac:dyDescent="0.2">
      <c r="A458" s="158">
        <v>348</v>
      </c>
      <c r="B458" s="159">
        <v>9999</v>
      </c>
      <c r="C458" s="158"/>
      <c r="D458" s="160" t="s">
        <v>1101</v>
      </c>
      <c r="E458" s="161"/>
      <c r="F458" s="160" t="s">
        <v>32</v>
      </c>
      <c r="G458" s="160"/>
      <c r="H458" s="160"/>
      <c r="I458" s="162"/>
      <c r="J458" s="163"/>
      <c r="K458" s="164"/>
      <c r="L458" s="165"/>
      <c r="M458" s="166" t="s">
        <v>826</v>
      </c>
      <c r="N458" s="167">
        <v>45805</v>
      </c>
      <c r="O458" s="166" t="s">
        <v>1066</v>
      </c>
      <c r="P458" s="166"/>
      <c r="Q458" s="168"/>
      <c r="V458" s="9"/>
    </row>
    <row r="459" spans="1:22" s="142" customFormat="1" ht="12" customHeight="1" x14ac:dyDescent="0.2">
      <c r="A459" s="158">
        <v>349</v>
      </c>
      <c r="B459" s="159">
        <v>9999</v>
      </c>
      <c r="C459" s="158"/>
      <c r="D459" s="160" t="s">
        <v>1102</v>
      </c>
      <c r="E459" s="161"/>
      <c r="F459" s="160" t="s">
        <v>752</v>
      </c>
      <c r="G459" s="160"/>
      <c r="H459" s="160" t="s">
        <v>1103</v>
      </c>
      <c r="I459" s="162"/>
      <c r="J459" s="163"/>
      <c r="K459" s="164"/>
      <c r="L459" s="165"/>
      <c r="M459" s="166" t="s">
        <v>826</v>
      </c>
      <c r="N459" s="167">
        <v>45805</v>
      </c>
      <c r="O459" s="166" t="s">
        <v>1066</v>
      </c>
      <c r="P459" s="166"/>
      <c r="Q459" s="168"/>
      <c r="V459" s="9"/>
    </row>
    <row r="460" spans="1:22" s="142" customFormat="1" ht="12" customHeight="1" x14ac:dyDescent="0.2">
      <c r="A460" s="158">
        <v>358</v>
      </c>
      <c r="B460" s="159">
        <v>9999</v>
      </c>
      <c r="C460" s="158"/>
      <c r="D460" s="160" t="s">
        <v>1104</v>
      </c>
      <c r="E460" s="161"/>
      <c r="F460" s="160" t="s">
        <v>1105</v>
      </c>
      <c r="G460" s="160"/>
      <c r="H460" s="160"/>
      <c r="I460" s="162"/>
      <c r="J460" s="163"/>
      <c r="K460" s="164"/>
      <c r="L460" s="165"/>
      <c r="M460" s="166" t="s">
        <v>826</v>
      </c>
      <c r="N460" s="167">
        <v>45805</v>
      </c>
      <c r="O460" s="166" t="s">
        <v>1066</v>
      </c>
      <c r="P460" s="166"/>
      <c r="Q460" s="168"/>
      <c r="V460" s="9"/>
    </row>
    <row r="461" spans="1:22" s="142" customFormat="1" ht="12" customHeight="1" x14ac:dyDescent="0.2">
      <c r="A461" s="158">
        <v>359</v>
      </c>
      <c r="B461" s="159">
        <v>9999</v>
      </c>
      <c r="C461" s="158"/>
      <c r="D461" s="160" t="s">
        <v>1106</v>
      </c>
      <c r="E461" s="161"/>
      <c r="F461" s="160" t="s">
        <v>1107</v>
      </c>
      <c r="G461" s="160"/>
      <c r="H461" s="160"/>
      <c r="I461" s="162"/>
      <c r="J461" s="163"/>
      <c r="K461" s="164"/>
      <c r="L461" s="165"/>
      <c r="M461" s="166" t="s">
        <v>826</v>
      </c>
      <c r="N461" s="167">
        <v>45805</v>
      </c>
      <c r="O461" s="166" t="s">
        <v>1066</v>
      </c>
      <c r="P461" s="166"/>
      <c r="Q461" s="168"/>
      <c r="V461" s="9"/>
    </row>
    <row r="462" spans="1:22" s="142" customFormat="1" ht="12" customHeight="1" x14ac:dyDescent="0.2">
      <c r="A462" s="158">
        <v>365</v>
      </c>
      <c r="B462" s="159">
        <v>9999</v>
      </c>
      <c r="C462" s="158"/>
      <c r="D462" s="160" t="s">
        <v>1108</v>
      </c>
      <c r="E462" s="161"/>
      <c r="F462" s="160" t="s">
        <v>161</v>
      </c>
      <c r="G462" s="160" t="s">
        <v>24</v>
      </c>
      <c r="H462" s="160"/>
      <c r="I462" s="162"/>
      <c r="J462" s="163"/>
      <c r="K462" s="164"/>
      <c r="L462" s="165"/>
      <c r="M462" s="166" t="s">
        <v>826</v>
      </c>
      <c r="N462" s="167">
        <v>45805</v>
      </c>
      <c r="O462" s="166" t="s">
        <v>1066</v>
      </c>
      <c r="P462" s="166"/>
      <c r="Q462" s="168"/>
      <c r="V462" s="9"/>
    </row>
    <row r="463" spans="1:22" s="142" customFormat="1" ht="12" customHeight="1" x14ac:dyDescent="0.2">
      <c r="A463" s="158">
        <v>366</v>
      </c>
      <c r="B463" s="159">
        <v>9999</v>
      </c>
      <c r="C463" s="158"/>
      <c r="D463" s="160" t="s">
        <v>1109</v>
      </c>
      <c r="E463" s="161"/>
      <c r="F463" s="160" t="s">
        <v>161</v>
      </c>
      <c r="G463" s="160" t="s">
        <v>24</v>
      </c>
      <c r="H463" s="160"/>
      <c r="I463" s="162"/>
      <c r="J463" s="163"/>
      <c r="K463" s="164"/>
      <c r="L463" s="165"/>
      <c r="M463" s="166" t="s">
        <v>826</v>
      </c>
      <c r="N463" s="167">
        <v>45805</v>
      </c>
      <c r="O463" s="166" t="s">
        <v>1066</v>
      </c>
      <c r="P463" s="166"/>
      <c r="Q463" s="168"/>
      <c r="V463" s="9"/>
    </row>
    <row r="464" spans="1:22" s="142" customFormat="1" ht="12" customHeight="1" x14ac:dyDescent="0.2">
      <c r="A464" s="158">
        <v>376</v>
      </c>
      <c r="B464" s="159">
        <v>9999</v>
      </c>
      <c r="C464" s="158"/>
      <c r="D464" s="160" t="s">
        <v>1110</v>
      </c>
      <c r="E464" s="161"/>
      <c r="F464" s="160" t="s">
        <v>161</v>
      </c>
      <c r="G464" s="160"/>
      <c r="H464" s="160"/>
      <c r="I464" s="162"/>
      <c r="J464" s="163"/>
      <c r="K464" s="164"/>
      <c r="L464" s="165"/>
      <c r="M464" s="166" t="s">
        <v>826</v>
      </c>
      <c r="N464" s="167">
        <v>45805</v>
      </c>
      <c r="O464" s="166" t="s">
        <v>1066</v>
      </c>
      <c r="P464" s="166"/>
      <c r="Q464" s="168"/>
      <c r="V464" s="9"/>
    </row>
    <row r="465" spans="1:22" s="142" customFormat="1" ht="12" customHeight="1" x14ac:dyDescent="0.2">
      <c r="A465" s="158">
        <v>67</v>
      </c>
      <c r="B465" s="159">
        <v>9999</v>
      </c>
      <c r="C465" s="158"/>
      <c r="D465" s="160" t="s">
        <v>1111</v>
      </c>
      <c r="E465" s="161"/>
      <c r="F465" s="160" t="s">
        <v>32</v>
      </c>
      <c r="G465" s="160" t="s">
        <v>33</v>
      </c>
      <c r="H465" s="160" t="s">
        <v>1112</v>
      </c>
      <c r="I465" s="162"/>
      <c r="J465" s="163"/>
      <c r="K465" s="164"/>
      <c r="L465" s="165"/>
      <c r="M465" s="166" t="s">
        <v>826</v>
      </c>
      <c r="N465" s="167">
        <v>45837</v>
      </c>
      <c r="O465" s="166" t="s">
        <v>1113</v>
      </c>
      <c r="P465" s="166"/>
      <c r="Q465" s="168"/>
      <c r="V465" s="9"/>
    </row>
    <row r="466" spans="1:22" s="142" customFormat="1" ht="12" customHeight="1" x14ac:dyDescent="0.2">
      <c r="A466" s="158">
        <v>310</v>
      </c>
      <c r="B466" s="159">
        <v>9999</v>
      </c>
      <c r="C466" s="158"/>
      <c r="D466" s="160" t="s">
        <v>1114</v>
      </c>
      <c r="E466" s="161"/>
      <c r="F466" s="160" t="s">
        <v>148</v>
      </c>
      <c r="G466" s="160" t="s">
        <v>181</v>
      </c>
      <c r="H466" s="160" t="s">
        <v>1115</v>
      </c>
      <c r="I466" s="162"/>
      <c r="J466" s="163"/>
      <c r="K466" s="164"/>
      <c r="L466" s="165"/>
      <c r="M466" s="166" t="s">
        <v>826</v>
      </c>
      <c r="N466" s="167">
        <v>45837</v>
      </c>
      <c r="O466" s="166" t="s">
        <v>1113</v>
      </c>
      <c r="P466" s="166"/>
      <c r="Q466" s="168"/>
      <c r="V466" s="9"/>
    </row>
    <row r="467" spans="1:22" s="142" customFormat="1" ht="12" customHeight="1" x14ac:dyDescent="0.2">
      <c r="A467" s="158">
        <v>360</v>
      </c>
      <c r="B467" s="159">
        <v>9999</v>
      </c>
      <c r="C467" s="158"/>
      <c r="D467" s="160" t="s">
        <v>1116</v>
      </c>
      <c r="E467" s="161" t="s">
        <v>121</v>
      </c>
      <c r="F467" s="160" t="s">
        <v>898</v>
      </c>
      <c r="G467" s="160" t="s">
        <v>33</v>
      </c>
      <c r="H467" s="160" t="s">
        <v>1117</v>
      </c>
      <c r="I467" s="162"/>
      <c r="J467" s="163"/>
      <c r="K467" s="164"/>
      <c r="L467" s="165"/>
      <c r="M467" s="166" t="s">
        <v>826</v>
      </c>
      <c r="N467" s="167">
        <v>45837</v>
      </c>
      <c r="O467" s="166" t="s">
        <v>1113</v>
      </c>
      <c r="P467" s="166"/>
      <c r="Q467" s="168"/>
      <c r="V467" s="9"/>
    </row>
    <row r="468" spans="1:22" s="142" customFormat="1" ht="12" customHeight="1" x14ac:dyDescent="0.2">
      <c r="A468" s="158">
        <v>361</v>
      </c>
      <c r="B468" s="159">
        <v>9999</v>
      </c>
      <c r="C468" s="158"/>
      <c r="D468" s="160" t="s">
        <v>1118</v>
      </c>
      <c r="E468" s="161"/>
      <c r="F468" s="160" t="s">
        <v>32</v>
      </c>
      <c r="G468" s="160" t="s">
        <v>24</v>
      </c>
      <c r="H468" s="160" t="s">
        <v>1119</v>
      </c>
      <c r="I468" s="162"/>
      <c r="J468" s="163"/>
      <c r="K468" s="164"/>
      <c r="L468" s="165"/>
      <c r="M468" s="166" t="s">
        <v>826</v>
      </c>
      <c r="N468" s="167">
        <v>45837</v>
      </c>
      <c r="O468" s="166" t="s">
        <v>1113</v>
      </c>
      <c r="P468" s="166"/>
      <c r="Q468" s="168"/>
      <c r="V468" s="9"/>
    </row>
    <row r="469" spans="1:22" s="142" customFormat="1" ht="12" customHeight="1" x14ac:dyDescent="0.2">
      <c r="A469" s="158">
        <v>362</v>
      </c>
      <c r="B469" s="159">
        <v>9999</v>
      </c>
      <c r="C469" s="158"/>
      <c r="D469" s="160" t="s">
        <v>1120</v>
      </c>
      <c r="E469" s="161"/>
      <c r="F469" s="160" t="s">
        <v>32</v>
      </c>
      <c r="G469" s="160" t="s">
        <v>24</v>
      </c>
      <c r="H469" s="160" t="s">
        <v>1121</v>
      </c>
      <c r="I469" s="162"/>
      <c r="J469" s="163"/>
      <c r="K469" s="164"/>
      <c r="L469" s="165"/>
      <c r="M469" s="166" t="s">
        <v>826</v>
      </c>
      <c r="N469" s="167">
        <v>45837</v>
      </c>
      <c r="O469" s="166" t="s">
        <v>1113</v>
      </c>
      <c r="P469" s="166"/>
      <c r="Q469" s="168"/>
      <c r="V469" s="9"/>
    </row>
    <row r="470" spans="1:22" s="142" customFormat="1" ht="12" customHeight="1" x14ac:dyDescent="0.2">
      <c r="A470" s="158">
        <v>367</v>
      </c>
      <c r="B470" s="159">
        <v>9999</v>
      </c>
      <c r="C470" s="158"/>
      <c r="D470" s="160" t="s">
        <v>1122</v>
      </c>
      <c r="E470" s="161"/>
      <c r="F470" s="160" t="s">
        <v>148</v>
      </c>
      <c r="G470" s="160" t="s">
        <v>24</v>
      </c>
      <c r="H470" s="160" t="s">
        <v>1123</v>
      </c>
      <c r="I470" s="162"/>
      <c r="J470" s="163"/>
      <c r="K470" s="164"/>
      <c r="L470" s="165"/>
      <c r="M470" s="166" t="s">
        <v>826</v>
      </c>
      <c r="N470" s="167">
        <v>45837</v>
      </c>
      <c r="O470" s="166" t="s">
        <v>1113</v>
      </c>
      <c r="P470" s="166"/>
      <c r="Q470" s="168"/>
      <c r="V470" s="9"/>
    </row>
    <row r="471" spans="1:22" s="142" customFormat="1" ht="12" customHeight="1" x14ac:dyDescent="0.2">
      <c r="A471" s="158">
        <v>368</v>
      </c>
      <c r="B471" s="159">
        <v>9999</v>
      </c>
      <c r="C471" s="158"/>
      <c r="D471" s="160" t="s">
        <v>1124</v>
      </c>
      <c r="E471" s="161"/>
      <c r="F471" s="160" t="s">
        <v>148</v>
      </c>
      <c r="G471" s="160" t="s">
        <v>24</v>
      </c>
      <c r="H471" s="160" t="s">
        <v>1125</v>
      </c>
      <c r="I471" s="162"/>
      <c r="J471" s="163"/>
      <c r="K471" s="164"/>
      <c r="L471" s="165"/>
      <c r="M471" s="166" t="s">
        <v>826</v>
      </c>
      <c r="N471" s="167">
        <v>45837</v>
      </c>
      <c r="O471" s="166" t="s">
        <v>1113</v>
      </c>
      <c r="P471" s="166"/>
      <c r="Q471" s="168"/>
      <c r="V471" s="9"/>
    </row>
    <row r="472" spans="1:22" s="142" customFormat="1" ht="12" customHeight="1" x14ac:dyDescent="0.2">
      <c r="A472" s="158">
        <v>378</v>
      </c>
      <c r="B472" s="159">
        <v>9999</v>
      </c>
      <c r="C472" s="158"/>
      <c r="D472" s="160" t="s">
        <v>1126</v>
      </c>
      <c r="E472" s="161"/>
      <c r="F472" s="160" t="s">
        <v>32</v>
      </c>
      <c r="G472" s="160" t="s">
        <v>388</v>
      </c>
      <c r="H472" s="160" t="s">
        <v>1127</v>
      </c>
      <c r="I472" s="162"/>
      <c r="J472" s="163"/>
      <c r="K472" s="164"/>
      <c r="L472" s="165"/>
      <c r="M472" s="166" t="s">
        <v>826</v>
      </c>
      <c r="N472" s="167">
        <v>45837</v>
      </c>
      <c r="O472" s="166" t="s">
        <v>1113</v>
      </c>
      <c r="P472" s="166"/>
      <c r="Q472" s="168"/>
      <c r="V472" s="9"/>
    </row>
    <row r="473" spans="1:22" s="142" customFormat="1" ht="12" customHeight="1" x14ac:dyDescent="0.2">
      <c r="A473" s="158">
        <v>305</v>
      </c>
      <c r="B473" s="159">
        <v>9999</v>
      </c>
      <c r="C473" s="158">
        <v>16</v>
      </c>
      <c r="D473" s="160" t="s">
        <v>1128</v>
      </c>
      <c r="E473" s="161"/>
      <c r="F473" s="160" t="s">
        <v>205</v>
      </c>
      <c r="G473" s="160" t="s">
        <v>181</v>
      </c>
      <c r="H473" s="160"/>
      <c r="I473" s="162"/>
      <c r="J473" s="163"/>
      <c r="K473" s="164"/>
      <c r="L473" s="165"/>
      <c r="M473" s="166" t="s">
        <v>826</v>
      </c>
      <c r="N473" s="167">
        <v>45868</v>
      </c>
      <c r="O473" s="166" t="s">
        <v>1129</v>
      </c>
      <c r="P473" s="166"/>
      <c r="Q473" s="168"/>
      <c r="V473" s="9"/>
    </row>
    <row r="474" spans="1:22" s="142" customFormat="1" ht="12" customHeight="1" x14ac:dyDescent="0.2">
      <c r="A474" s="158">
        <v>84</v>
      </c>
      <c r="B474" s="159">
        <v>9999</v>
      </c>
      <c r="C474" s="158"/>
      <c r="D474" s="160" t="s">
        <v>1130</v>
      </c>
      <c r="E474" s="161" t="s">
        <v>201</v>
      </c>
      <c r="F474" s="160" t="s">
        <v>1131</v>
      </c>
      <c r="G474" s="160" t="s">
        <v>81</v>
      </c>
      <c r="H474" s="160" t="s">
        <v>1132</v>
      </c>
      <c r="I474" s="162"/>
      <c r="J474" s="163"/>
      <c r="K474" s="164"/>
      <c r="L474" s="165"/>
      <c r="M474" s="166" t="s">
        <v>826</v>
      </c>
      <c r="N474" s="167">
        <v>45868</v>
      </c>
      <c r="O474" s="166" t="s">
        <v>1129</v>
      </c>
      <c r="P474" s="166"/>
      <c r="Q474" s="168"/>
      <c r="V474" s="9"/>
    </row>
    <row r="475" spans="1:22" s="142" customFormat="1" ht="12" customHeight="1" x14ac:dyDescent="0.2">
      <c r="A475" s="158">
        <v>96</v>
      </c>
      <c r="B475" s="159">
        <v>9999</v>
      </c>
      <c r="C475" s="158"/>
      <c r="D475" s="160" t="s">
        <v>1133</v>
      </c>
      <c r="E475" s="161"/>
      <c r="F475" s="160" t="s">
        <v>341</v>
      </c>
      <c r="G475" s="160" t="s">
        <v>181</v>
      </c>
      <c r="H475" s="160"/>
      <c r="I475" s="162"/>
      <c r="J475" s="163"/>
      <c r="K475" s="164"/>
      <c r="L475" s="165"/>
      <c r="M475" s="166" t="s">
        <v>826</v>
      </c>
      <c r="N475" s="167">
        <v>45868</v>
      </c>
      <c r="O475" s="166" t="s">
        <v>1129</v>
      </c>
      <c r="P475" s="166"/>
      <c r="Q475" s="168"/>
      <c r="V475" s="9"/>
    </row>
    <row r="476" spans="1:22" s="142" customFormat="1" ht="12" customHeight="1" x14ac:dyDescent="0.2">
      <c r="A476" s="158">
        <v>152</v>
      </c>
      <c r="B476" s="159">
        <v>9999</v>
      </c>
      <c r="C476" s="158"/>
      <c r="D476" s="160" t="s">
        <v>1134</v>
      </c>
      <c r="E476" s="161" t="s">
        <v>1135</v>
      </c>
      <c r="F476" s="160" t="s">
        <v>1136</v>
      </c>
      <c r="G476" s="160" t="s">
        <v>81</v>
      </c>
      <c r="H476" s="160"/>
      <c r="I476" s="162"/>
      <c r="J476" s="163"/>
      <c r="K476" s="164"/>
      <c r="L476" s="165"/>
      <c r="M476" s="166" t="s">
        <v>826</v>
      </c>
      <c r="N476" s="167">
        <v>45868</v>
      </c>
      <c r="O476" s="166" t="s">
        <v>1129</v>
      </c>
      <c r="P476" s="166"/>
      <c r="Q476" s="168"/>
      <c r="V476" s="9"/>
    </row>
    <row r="477" spans="1:22" s="142" customFormat="1" ht="12" customHeight="1" x14ac:dyDescent="0.2">
      <c r="A477" s="158">
        <v>308</v>
      </c>
      <c r="B477" s="159">
        <v>9999</v>
      </c>
      <c r="C477" s="158"/>
      <c r="D477" s="160" t="s">
        <v>1137</v>
      </c>
      <c r="E477" s="161"/>
      <c r="F477" s="160" t="s">
        <v>1138</v>
      </c>
      <c r="G477" s="160" t="s">
        <v>181</v>
      </c>
      <c r="H477" s="160" t="s">
        <v>1139</v>
      </c>
      <c r="I477" s="162"/>
      <c r="J477" s="163"/>
      <c r="K477" s="164"/>
      <c r="L477" s="165"/>
      <c r="M477" s="166" t="s">
        <v>826</v>
      </c>
      <c r="N477" s="167">
        <v>45868</v>
      </c>
      <c r="O477" s="166" t="s">
        <v>1129</v>
      </c>
      <c r="P477" s="166"/>
      <c r="Q477" s="168"/>
      <c r="V477" s="9"/>
    </row>
    <row r="478" spans="1:22" s="142" customFormat="1" ht="12" customHeight="1" x14ac:dyDescent="0.2">
      <c r="A478" s="158">
        <v>338</v>
      </c>
      <c r="B478" s="159">
        <v>9999</v>
      </c>
      <c r="C478" s="158"/>
      <c r="D478" s="160" t="s">
        <v>1140</v>
      </c>
      <c r="E478" s="161" t="s">
        <v>1141</v>
      </c>
      <c r="F478" s="160" t="s">
        <v>161</v>
      </c>
      <c r="G478" s="160"/>
      <c r="H478" s="160" t="s">
        <v>1142</v>
      </c>
      <c r="I478" s="162"/>
      <c r="J478" s="163"/>
      <c r="K478" s="164"/>
      <c r="L478" s="165"/>
      <c r="M478" s="166" t="s">
        <v>826</v>
      </c>
      <c r="N478" s="167">
        <v>45868</v>
      </c>
      <c r="O478" s="166" t="s">
        <v>1129</v>
      </c>
      <c r="P478" s="166"/>
      <c r="Q478" s="168"/>
      <c r="V478" s="9"/>
    </row>
    <row r="479" spans="1:22" s="142" customFormat="1" ht="12" customHeight="1" x14ac:dyDescent="0.2">
      <c r="A479" s="158">
        <v>380</v>
      </c>
      <c r="B479" s="159">
        <v>9999</v>
      </c>
      <c r="C479" s="158"/>
      <c r="D479" s="160" t="s">
        <v>1143</v>
      </c>
      <c r="E479" s="161"/>
      <c r="F479" s="160" t="s">
        <v>1144</v>
      </c>
      <c r="G479" s="160"/>
      <c r="H479" s="160"/>
      <c r="I479" s="162"/>
      <c r="J479" s="163"/>
      <c r="K479" s="164"/>
      <c r="L479" s="165"/>
      <c r="M479" s="166" t="s">
        <v>826</v>
      </c>
      <c r="N479" s="167">
        <v>45868</v>
      </c>
      <c r="O479" s="166" t="s">
        <v>1129</v>
      </c>
      <c r="P479" s="166"/>
      <c r="Q479" s="168"/>
      <c r="V479" s="9"/>
    </row>
    <row r="480" spans="1:22" s="142" customFormat="1" ht="12" customHeight="1" x14ac:dyDescent="0.2">
      <c r="A480" s="158">
        <v>391</v>
      </c>
      <c r="B480" s="159">
        <v>9999</v>
      </c>
      <c r="C480" s="158"/>
      <c r="D480" s="160" t="s">
        <v>1145</v>
      </c>
      <c r="E480" s="161"/>
      <c r="F480" s="160" t="s">
        <v>32</v>
      </c>
      <c r="G480" s="160" t="s">
        <v>33</v>
      </c>
      <c r="H480" s="160" t="s">
        <v>1146</v>
      </c>
      <c r="I480" s="162"/>
      <c r="J480" s="163"/>
      <c r="K480" s="164"/>
      <c r="L480" s="165"/>
      <c r="M480" s="166" t="s">
        <v>826</v>
      </c>
      <c r="N480" s="167">
        <v>45868</v>
      </c>
      <c r="O480" s="166" t="s">
        <v>1129</v>
      </c>
      <c r="P480" s="166"/>
      <c r="Q480" s="168"/>
      <c r="V480" s="9"/>
    </row>
    <row r="481" spans="1:22" s="142" customFormat="1" ht="12" customHeight="1" x14ac:dyDescent="0.2">
      <c r="A481" s="158">
        <v>415</v>
      </c>
      <c r="B481" s="159">
        <v>9999</v>
      </c>
      <c r="C481" s="158"/>
      <c r="D481" s="160" t="s">
        <v>1147</v>
      </c>
      <c r="E481" s="161" t="s">
        <v>121</v>
      </c>
      <c r="F481" s="160" t="s">
        <v>1148</v>
      </c>
      <c r="G481" s="160"/>
      <c r="H481" s="160"/>
      <c r="I481" s="162"/>
      <c r="J481" s="163"/>
      <c r="K481" s="164"/>
      <c r="L481" s="165"/>
      <c r="M481" s="166" t="s">
        <v>826</v>
      </c>
      <c r="N481" s="167">
        <v>45868</v>
      </c>
      <c r="O481" s="166" t="s">
        <v>1129</v>
      </c>
      <c r="P481" s="166"/>
      <c r="Q481" s="168"/>
      <c r="V481" s="9"/>
    </row>
    <row r="482" spans="1:22" s="142" customFormat="1" ht="12" customHeight="1" x14ac:dyDescent="0.2">
      <c r="A482" s="158">
        <v>421</v>
      </c>
      <c r="B482" s="159">
        <v>9999</v>
      </c>
      <c r="C482" s="158"/>
      <c r="D482" s="160" t="s">
        <v>1149</v>
      </c>
      <c r="E482" s="161"/>
      <c r="F482" s="160" t="s">
        <v>1150</v>
      </c>
      <c r="G482" s="160"/>
      <c r="H482" s="160"/>
      <c r="I482" s="162"/>
      <c r="J482" s="163"/>
      <c r="K482" s="164"/>
      <c r="L482" s="165"/>
      <c r="M482" s="166" t="s">
        <v>826</v>
      </c>
      <c r="N482" s="167">
        <v>45868</v>
      </c>
      <c r="O482" s="166" t="s">
        <v>1129</v>
      </c>
      <c r="P482" s="166"/>
      <c r="Q482" s="168"/>
      <c r="V482" s="9"/>
    </row>
    <row r="483" spans="1:22" s="142" customFormat="1" ht="12" customHeight="1" x14ac:dyDescent="0.2">
      <c r="A483" s="158">
        <v>373</v>
      </c>
      <c r="B483" s="159">
        <v>9999</v>
      </c>
      <c r="C483" s="158"/>
      <c r="D483" s="160" t="s">
        <v>1151</v>
      </c>
      <c r="E483" s="161"/>
      <c r="F483" s="160" t="s">
        <v>148</v>
      </c>
      <c r="G483" s="160" t="s">
        <v>24</v>
      </c>
      <c r="H483" s="160" t="s">
        <v>1152</v>
      </c>
      <c r="I483" s="162"/>
      <c r="J483" s="163"/>
      <c r="K483" s="164"/>
      <c r="L483" s="165"/>
      <c r="M483" s="166" t="s">
        <v>826</v>
      </c>
      <c r="N483" s="167">
        <v>45893</v>
      </c>
      <c r="O483" s="166" t="s">
        <v>1153</v>
      </c>
      <c r="P483" s="166"/>
      <c r="Q483" s="168"/>
      <c r="V483" s="9"/>
    </row>
    <row r="484" spans="1:22" s="142" customFormat="1" ht="12" customHeight="1" x14ac:dyDescent="0.2">
      <c r="A484" s="158">
        <v>386</v>
      </c>
      <c r="B484" s="159">
        <v>9999</v>
      </c>
      <c r="C484" s="158"/>
      <c r="D484" s="160" t="s">
        <v>1154</v>
      </c>
      <c r="E484" s="161"/>
      <c r="F484" s="160" t="s">
        <v>77</v>
      </c>
      <c r="G484" s="160"/>
      <c r="H484" s="160"/>
      <c r="I484" s="162"/>
      <c r="J484" s="163"/>
      <c r="K484" s="164"/>
      <c r="L484" s="165"/>
      <c r="M484" s="166" t="s">
        <v>826</v>
      </c>
      <c r="N484" s="167">
        <v>45893</v>
      </c>
      <c r="O484" s="166" t="s">
        <v>1153</v>
      </c>
      <c r="P484" s="166"/>
      <c r="Q484" s="168"/>
      <c r="V484" s="9"/>
    </row>
    <row r="485" spans="1:22" s="142" customFormat="1" ht="12" customHeight="1" x14ac:dyDescent="0.2">
      <c r="A485" s="158">
        <v>407</v>
      </c>
      <c r="B485" s="159">
        <v>9999</v>
      </c>
      <c r="C485" s="158"/>
      <c r="D485" s="160" t="s">
        <v>1155</v>
      </c>
      <c r="E485" s="161" t="s">
        <v>1156</v>
      </c>
      <c r="F485" s="160" t="s">
        <v>1157</v>
      </c>
      <c r="G485" s="160" t="s">
        <v>24</v>
      </c>
      <c r="H485" s="160" t="s">
        <v>1158</v>
      </c>
      <c r="I485" s="162"/>
      <c r="J485" s="163"/>
      <c r="K485" s="164"/>
      <c r="L485" s="165"/>
      <c r="M485" s="166" t="s">
        <v>826</v>
      </c>
      <c r="N485" s="167">
        <v>45893</v>
      </c>
      <c r="O485" s="166" t="s">
        <v>1153</v>
      </c>
      <c r="P485" s="166"/>
      <c r="Q485" s="168"/>
      <c r="V485" s="9"/>
    </row>
    <row r="486" spans="1:22" s="142" customFormat="1" ht="12" customHeight="1" x14ac:dyDescent="0.2">
      <c r="A486" s="158">
        <v>311</v>
      </c>
      <c r="B486" s="159">
        <v>9999</v>
      </c>
      <c r="C486" s="158"/>
      <c r="D486" s="160" t="s">
        <v>1159</v>
      </c>
      <c r="E486" s="161" t="s">
        <v>1160</v>
      </c>
      <c r="F486" s="160" t="s">
        <v>127</v>
      </c>
      <c r="G486" s="160" t="s">
        <v>24</v>
      </c>
      <c r="H486" s="160" t="s">
        <v>1161</v>
      </c>
      <c r="I486" s="162"/>
      <c r="J486" s="163"/>
      <c r="K486" s="164"/>
      <c r="L486" s="165"/>
      <c r="M486" s="166" t="s">
        <v>826</v>
      </c>
      <c r="N486" s="167">
        <v>45914</v>
      </c>
      <c r="O486" s="166" t="s">
        <v>1162</v>
      </c>
      <c r="P486" s="166"/>
      <c r="Q486" s="168"/>
      <c r="V486" s="9"/>
    </row>
    <row r="487" spans="1:22" s="142" customFormat="1" ht="12" customHeight="1" x14ac:dyDescent="0.2">
      <c r="A487" s="158">
        <v>438</v>
      </c>
      <c r="B487" s="159">
        <v>9999</v>
      </c>
      <c r="C487" s="158"/>
      <c r="D487" s="160" t="s">
        <v>1163</v>
      </c>
      <c r="E487" s="161"/>
      <c r="F487" s="160" t="s">
        <v>1164</v>
      </c>
      <c r="G487" s="160" t="s">
        <v>24</v>
      </c>
      <c r="H487" s="160" t="s">
        <v>1165</v>
      </c>
      <c r="I487" s="162"/>
      <c r="J487" s="163"/>
      <c r="K487" s="164"/>
      <c r="L487" s="165"/>
      <c r="M487" s="166" t="s">
        <v>826</v>
      </c>
      <c r="N487" s="167">
        <v>45914</v>
      </c>
      <c r="O487" s="166" t="s">
        <v>1162</v>
      </c>
      <c r="P487" s="166"/>
      <c r="Q487" s="168"/>
      <c r="V487" s="9"/>
    </row>
    <row r="488" spans="1:22" s="142" customFormat="1" ht="12" customHeight="1" x14ac:dyDescent="0.2">
      <c r="A488" s="158">
        <v>466</v>
      </c>
      <c r="B488" s="159">
        <v>9999</v>
      </c>
      <c r="C488" s="158"/>
      <c r="D488" s="160" t="s">
        <v>1166</v>
      </c>
      <c r="E488" s="161" t="s">
        <v>1167</v>
      </c>
      <c r="F488" s="160" t="s">
        <v>32</v>
      </c>
      <c r="G488" s="160" t="s">
        <v>24</v>
      </c>
      <c r="H488" s="160" t="s">
        <v>1168</v>
      </c>
      <c r="I488" s="162"/>
      <c r="J488" s="163"/>
      <c r="K488" s="164" t="s">
        <v>124</v>
      </c>
      <c r="L488" s="165"/>
      <c r="M488" s="166" t="s">
        <v>826</v>
      </c>
      <c r="N488" s="167">
        <v>45928</v>
      </c>
      <c r="O488" s="166" t="s">
        <v>1169</v>
      </c>
      <c r="P488" s="166"/>
      <c r="Q488" s="168"/>
      <c r="V488" s="9"/>
    </row>
    <row r="489" spans="1:22" s="142" customFormat="1" ht="12" customHeight="1" x14ac:dyDescent="0.2">
      <c r="A489" s="158">
        <v>381</v>
      </c>
      <c r="B489" s="159">
        <v>9999</v>
      </c>
      <c r="C489" s="158">
        <v>3</v>
      </c>
      <c r="D489" s="170" t="s">
        <v>1170</v>
      </c>
      <c r="E489" s="161" t="s">
        <v>1171</v>
      </c>
      <c r="F489" s="160" t="s">
        <v>32</v>
      </c>
      <c r="G489" s="160"/>
      <c r="H489" s="160" t="s">
        <v>1172</v>
      </c>
      <c r="I489" s="162"/>
      <c r="J489" s="163"/>
      <c r="K489" s="164"/>
      <c r="L489" s="165"/>
      <c r="M489" s="166" t="s">
        <v>826</v>
      </c>
      <c r="N489" s="167">
        <v>45932</v>
      </c>
      <c r="O489" s="166" t="s">
        <v>1169</v>
      </c>
      <c r="P489" s="166"/>
      <c r="Q489" s="168"/>
      <c r="V489" s="9"/>
    </row>
    <row r="490" spans="1:22" s="142" customFormat="1" ht="12" customHeight="1" x14ac:dyDescent="0.2">
      <c r="A490" s="158">
        <v>351</v>
      </c>
      <c r="B490" s="159">
        <v>9999</v>
      </c>
      <c r="C490" s="158"/>
      <c r="D490" s="160" t="s">
        <v>1173</v>
      </c>
      <c r="E490" s="161"/>
      <c r="F490" s="160" t="s">
        <v>1174</v>
      </c>
      <c r="G490" s="160" t="s">
        <v>24</v>
      </c>
      <c r="H490" s="160" t="s">
        <v>1175</v>
      </c>
      <c r="I490" s="162"/>
      <c r="J490" s="163"/>
      <c r="K490" s="164"/>
      <c r="L490" s="165"/>
      <c r="M490" s="166" t="s">
        <v>826</v>
      </c>
      <c r="N490" s="167">
        <v>45932</v>
      </c>
      <c r="O490" s="166" t="s">
        <v>1169</v>
      </c>
      <c r="P490" s="166"/>
      <c r="Q490" s="168"/>
      <c r="V490" s="9"/>
    </row>
    <row r="491" spans="1:22" s="142" customFormat="1" ht="12" customHeight="1" x14ac:dyDescent="0.2">
      <c r="A491" s="158">
        <v>353</v>
      </c>
      <c r="B491" s="159">
        <v>9999</v>
      </c>
      <c r="C491" s="158"/>
      <c r="D491" s="160" t="s">
        <v>1176</v>
      </c>
      <c r="E491" s="161"/>
      <c r="F491" s="160" t="s">
        <v>66</v>
      </c>
      <c r="G491" s="160" t="s">
        <v>24</v>
      </c>
      <c r="H491" s="160" t="s">
        <v>1177</v>
      </c>
      <c r="I491" s="162"/>
      <c r="J491" s="163"/>
      <c r="K491" s="164"/>
      <c r="L491" s="165"/>
      <c r="M491" s="166" t="s">
        <v>826</v>
      </c>
      <c r="N491" s="167">
        <v>45932</v>
      </c>
      <c r="O491" s="166" t="s">
        <v>1169</v>
      </c>
      <c r="P491" s="166"/>
      <c r="Q491" s="168"/>
      <c r="V491" s="9"/>
    </row>
    <row r="492" spans="1:22" s="142" customFormat="1" ht="12" customHeight="1" x14ac:dyDescent="0.2">
      <c r="A492" s="158">
        <v>385</v>
      </c>
      <c r="B492" s="159">
        <v>9999</v>
      </c>
      <c r="C492" s="158"/>
      <c r="D492" s="160" t="s">
        <v>1178</v>
      </c>
      <c r="E492" s="161" t="s">
        <v>1179</v>
      </c>
      <c r="F492" s="160" t="s">
        <v>239</v>
      </c>
      <c r="G492" s="160"/>
      <c r="H492" s="160" t="s">
        <v>1180</v>
      </c>
      <c r="I492" s="162"/>
      <c r="J492" s="163"/>
      <c r="K492" s="164"/>
      <c r="L492" s="165"/>
      <c r="M492" s="166" t="s">
        <v>826</v>
      </c>
      <c r="N492" s="167">
        <v>45932</v>
      </c>
      <c r="O492" s="166" t="s">
        <v>1169</v>
      </c>
      <c r="P492" s="166"/>
      <c r="Q492" s="168"/>
      <c r="V492" s="9"/>
    </row>
    <row r="493" spans="1:22" s="142" customFormat="1" ht="12" customHeight="1" x14ac:dyDescent="0.2">
      <c r="A493" s="158">
        <v>394</v>
      </c>
      <c r="B493" s="159">
        <v>9999</v>
      </c>
      <c r="C493" s="158"/>
      <c r="D493" s="160" t="s">
        <v>1181</v>
      </c>
      <c r="E493" s="161"/>
      <c r="F493" s="160" t="s">
        <v>341</v>
      </c>
      <c r="G493" s="160"/>
      <c r="H493" s="160" t="s">
        <v>1182</v>
      </c>
      <c r="I493" s="162"/>
      <c r="J493" s="163"/>
      <c r="K493" s="164"/>
      <c r="L493" s="165"/>
      <c r="M493" s="166" t="s">
        <v>826</v>
      </c>
      <c r="N493" s="167">
        <v>45932</v>
      </c>
      <c r="O493" s="166" t="s">
        <v>1169</v>
      </c>
      <c r="P493" s="166"/>
      <c r="Q493" s="168"/>
      <c r="V493" s="9"/>
    </row>
    <row r="494" spans="1:22" s="142" customFormat="1" ht="12" customHeight="1" x14ac:dyDescent="0.2">
      <c r="A494" s="158">
        <v>417</v>
      </c>
      <c r="B494" s="159">
        <v>9999</v>
      </c>
      <c r="C494" s="158"/>
      <c r="D494" s="160" t="s">
        <v>1183</v>
      </c>
      <c r="E494" s="161" t="s">
        <v>121</v>
      </c>
      <c r="F494" s="160"/>
      <c r="G494" s="160"/>
      <c r="H494" s="160"/>
      <c r="I494" s="162"/>
      <c r="J494" s="163"/>
      <c r="K494" s="164"/>
      <c r="L494" s="165"/>
      <c r="M494" s="166" t="s">
        <v>826</v>
      </c>
      <c r="N494" s="167">
        <v>45932</v>
      </c>
      <c r="O494" s="166" t="s">
        <v>1169</v>
      </c>
      <c r="P494" s="166"/>
      <c r="Q494" s="168"/>
      <c r="V494" s="9"/>
    </row>
    <row r="495" spans="1:22" s="142" customFormat="1" ht="12" customHeight="1" x14ac:dyDescent="0.2">
      <c r="A495" s="158">
        <v>419</v>
      </c>
      <c r="B495" s="159">
        <v>9999</v>
      </c>
      <c r="C495" s="158"/>
      <c r="D495" s="160" t="s">
        <v>1184</v>
      </c>
      <c r="E495" s="161"/>
      <c r="F495" s="160" t="s">
        <v>1185</v>
      </c>
      <c r="G495" s="160" t="s">
        <v>181</v>
      </c>
      <c r="H495" s="160" t="s">
        <v>1186</v>
      </c>
      <c r="I495" s="162"/>
      <c r="J495" s="163"/>
      <c r="K495" s="164"/>
      <c r="L495" s="165"/>
      <c r="M495" s="166" t="s">
        <v>826</v>
      </c>
      <c r="N495" s="167">
        <v>45932</v>
      </c>
      <c r="O495" s="166" t="s">
        <v>1169</v>
      </c>
      <c r="P495" s="166"/>
      <c r="Q495" s="168"/>
      <c r="V495" s="9"/>
    </row>
    <row r="496" spans="1:22" s="142" customFormat="1" ht="12" customHeight="1" x14ac:dyDescent="0.2">
      <c r="A496" s="158">
        <v>424</v>
      </c>
      <c r="B496" s="159">
        <v>9999</v>
      </c>
      <c r="C496" s="158"/>
      <c r="D496" s="160" t="s">
        <v>1187</v>
      </c>
      <c r="E496" s="161"/>
      <c r="F496" s="160" t="s">
        <v>39</v>
      </c>
      <c r="G496" s="160"/>
      <c r="H496" s="160"/>
      <c r="I496" s="162"/>
      <c r="J496" s="163"/>
      <c r="K496" s="164"/>
      <c r="L496" s="165"/>
      <c r="M496" s="166" t="s">
        <v>826</v>
      </c>
      <c r="N496" s="167">
        <v>45932</v>
      </c>
      <c r="O496" s="166" t="s">
        <v>1169</v>
      </c>
      <c r="P496" s="166"/>
      <c r="Q496" s="168"/>
      <c r="V496" s="9"/>
    </row>
    <row r="497" spans="1:22" s="142" customFormat="1" ht="12" customHeight="1" x14ac:dyDescent="0.2">
      <c r="A497" s="158">
        <v>426</v>
      </c>
      <c r="B497" s="159">
        <v>9999</v>
      </c>
      <c r="C497" s="158"/>
      <c r="D497" s="160" t="s">
        <v>1188</v>
      </c>
      <c r="E497" s="161" t="s">
        <v>121</v>
      </c>
      <c r="F497" s="160" t="s">
        <v>1189</v>
      </c>
      <c r="G497" s="160"/>
      <c r="H497" s="160" t="s">
        <v>1190</v>
      </c>
      <c r="I497" s="162"/>
      <c r="J497" s="163"/>
      <c r="K497" s="164"/>
      <c r="L497" s="165"/>
      <c r="M497" s="166" t="s">
        <v>826</v>
      </c>
      <c r="N497" s="167">
        <v>45932</v>
      </c>
      <c r="O497" s="166" t="s">
        <v>1169</v>
      </c>
      <c r="P497" s="166"/>
      <c r="Q497" s="168"/>
      <c r="V497" s="9"/>
    </row>
    <row r="498" spans="1:22" s="142" customFormat="1" ht="12" customHeight="1" x14ac:dyDescent="0.2">
      <c r="A498" s="158">
        <v>427</v>
      </c>
      <c r="B498" s="159">
        <v>9999</v>
      </c>
      <c r="C498" s="158"/>
      <c r="D498" s="160" t="s">
        <v>1191</v>
      </c>
      <c r="E498" s="161"/>
      <c r="F498" s="160" t="s">
        <v>32</v>
      </c>
      <c r="G498" s="160" t="s">
        <v>24</v>
      </c>
      <c r="H498" s="160" t="s">
        <v>1192</v>
      </c>
      <c r="I498" s="162"/>
      <c r="J498" s="163"/>
      <c r="K498" s="164"/>
      <c r="L498" s="165"/>
      <c r="M498" s="166" t="s">
        <v>826</v>
      </c>
      <c r="N498" s="167">
        <v>45932</v>
      </c>
      <c r="O498" s="166" t="s">
        <v>1169</v>
      </c>
      <c r="P498" s="166"/>
      <c r="Q498" s="168"/>
      <c r="V498" s="9"/>
    </row>
    <row r="499" spans="1:22" s="142" customFormat="1" ht="12" customHeight="1" x14ac:dyDescent="0.2">
      <c r="A499" s="171">
        <v>431</v>
      </c>
      <c r="B499" s="159">
        <v>9999</v>
      </c>
      <c r="C499" s="171"/>
      <c r="D499" s="172" t="s">
        <v>1193</v>
      </c>
      <c r="E499" s="173" t="s">
        <v>1194</v>
      </c>
      <c r="F499" s="174" t="s">
        <v>32</v>
      </c>
      <c r="G499" s="174" t="s">
        <v>33</v>
      </c>
      <c r="H499" s="172" t="s">
        <v>1195</v>
      </c>
      <c r="I499" s="162"/>
      <c r="J499" s="163" t="s">
        <v>35</v>
      </c>
      <c r="K499" s="175"/>
      <c r="L499" s="176"/>
      <c r="M499" s="177" t="s">
        <v>826</v>
      </c>
      <c r="N499" s="178">
        <v>45932</v>
      </c>
      <c r="O499" s="179" t="s">
        <v>1169</v>
      </c>
      <c r="P499" s="179"/>
      <c r="Q499" s="180"/>
      <c r="V499" s="9"/>
    </row>
    <row r="500" spans="1:22" s="142" customFormat="1" ht="12" customHeight="1" x14ac:dyDescent="0.2">
      <c r="A500" s="158">
        <v>433</v>
      </c>
      <c r="B500" s="159">
        <v>9999</v>
      </c>
      <c r="C500" s="158"/>
      <c r="D500" s="160" t="s">
        <v>1196</v>
      </c>
      <c r="E500" s="161"/>
      <c r="F500" s="160" t="s">
        <v>32</v>
      </c>
      <c r="G500" s="160" t="s">
        <v>33</v>
      </c>
      <c r="H500" s="160" t="s">
        <v>1197</v>
      </c>
      <c r="I500" s="162"/>
      <c r="J500" s="163"/>
      <c r="K500" s="164"/>
      <c r="L500" s="165"/>
      <c r="M500" s="166" t="s">
        <v>826</v>
      </c>
      <c r="N500" s="167">
        <v>45932</v>
      </c>
      <c r="O500" s="166" t="s">
        <v>1169</v>
      </c>
      <c r="P500" s="166"/>
      <c r="Q500" s="168"/>
      <c r="V500" s="9"/>
    </row>
    <row r="501" spans="1:22" s="142" customFormat="1" ht="12" customHeight="1" x14ac:dyDescent="0.2">
      <c r="A501" s="158">
        <v>479</v>
      </c>
      <c r="B501" s="159">
        <v>9999</v>
      </c>
      <c r="C501" s="158"/>
      <c r="D501" s="160" t="s">
        <v>1198</v>
      </c>
      <c r="E501" s="161"/>
      <c r="F501" s="160" t="s">
        <v>32</v>
      </c>
      <c r="G501" s="160" t="s">
        <v>24</v>
      </c>
      <c r="H501" s="160"/>
      <c r="I501" s="162"/>
      <c r="J501" s="163"/>
      <c r="K501" s="164"/>
      <c r="L501" s="165"/>
      <c r="M501" s="166" t="s">
        <v>826</v>
      </c>
      <c r="N501" s="167">
        <v>45932</v>
      </c>
      <c r="O501" s="166" t="s">
        <v>1169</v>
      </c>
      <c r="P501" s="166"/>
      <c r="Q501" s="168"/>
      <c r="V501" s="9"/>
    </row>
    <row r="502" spans="1:22" s="142" customFormat="1" ht="12" customHeight="1" x14ac:dyDescent="0.2">
      <c r="A502" s="158">
        <v>484</v>
      </c>
      <c r="B502" s="159">
        <v>9999</v>
      </c>
      <c r="C502" s="158"/>
      <c r="D502" s="160" t="s">
        <v>1199</v>
      </c>
      <c r="E502" s="161"/>
      <c r="F502" s="160" t="s">
        <v>1200</v>
      </c>
      <c r="G502" s="160" t="s">
        <v>350</v>
      </c>
      <c r="H502" s="160"/>
      <c r="I502" s="162"/>
      <c r="J502" s="163"/>
      <c r="K502" s="164"/>
      <c r="L502" s="165"/>
      <c r="M502" s="166" t="s">
        <v>826</v>
      </c>
      <c r="N502" s="167">
        <v>45953</v>
      </c>
      <c r="O502" s="166" t="s">
        <v>1201</v>
      </c>
      <c r="P502" s="166"/>
      <c r="Q502" s="168"/>
      <c r="V502" s="9"/>
    </row>
    <row r="503" spans="1:22" s="142" customFormat="1" ht="12" customHeight="1" x14ac:dyDescent="0.2">
      <c r="A503" s="158">
        <v>471</v>
      </c>
      <c r="B503" s="159">
        <v>9999</v>
      </c>
      <c r="C503" s="158"/>
      <c r="D503" s="160" t="s">
        <v>1202</v>
      </c>
      <c r="E503" s="161" t="s">
        <v>66</v>
      </c>
      <c r="F503" s="160" t="s">
        <v>66</v>
      </c>
      <c r="G503" s="160" t="s">
        <v>24</v>
      </c>
      <c r="H503" s="160"/>
      <c r="I503" s="162"/>
      <c r="J503" s="163"/>
      <c r="K503" s="164" t="s">
        <v>124</v>
      </c>
      <c r="L503" s="165"/>
      <c r="M503" s="166" t="s">
        <v>826</v>
      </c>
      <c r="N503" s="167">
        <v>45964</v>
      </c>
      <c r="O503" s="166" t="s">
        <v>1203</v>
      </c>
      <c r="P503" s="166"/>
      <c r="Q503" s="168"/>
      <c r="V503" s="9"/>
    </row>
    <row r="504" spans="1:22" s="142" customFormat="1" ht="12" customHeight="1" x14ac:dyDescent="0.2">
      <c r="A504" s="158">
        <v>82</v>
      </c>
      <c r="B504" s="159">
        <v>9999</v>
      </c>
      <c r="C504" s="158"/>
      <c r="D504" s="160" t="s">
        <v>1204</v>
      </c>
      <c r="E504" s="161" t="s">
        <v>80</v>
      </c>
      <c r="F504" s="160" t="s">
        <v>1205</v>
      </c>
      <c r="G504" s="160" t="s">
        <v>181</v>
      </c>
      <c r="H504" s="160" t="s">
        <v>1206</v>
      </c>
      <c r="I504" s="162"/>
      <c r="J504" s="163"/>
      <c r="K504" s="164" t="s">
        <v>124</v>
      </c>
      <c r="L504" s="165"/>
      <c r="M504" s="166" t="s">
        <v>826</v>
      </c>
      <c r="N504" s="167">
        <v>45967</v>
      </c>
      <c r="O504" s="166" t="s">
        <v>1207</v>
      </c>
      <c r="P504" s="166"/>
      <c r="Q504" s="168"/>
      <c r="V504" s="9"/>
    </row>
    <row r="505" spans="1:22" s="142" customFormat="1" ht="12" customHeight="1" x14ac:dyDescent="0.2">
      <c r="A505" s="158">
        <v>364</v>
      </c>
      <c r="B505" s="159">
        <v>9999</v>
      </c>
      <c r="C505" s="158"/>
      <c r="D505" s="160" t="s">
        <v>1208</v>
      </c>
      <c r="E505" s="161"/>
      <c r="F505" s="160" t="s">
        <v>161</v>
      </c>
      <c r="G505" s="160" t="s">
        <v>24</v>
      </c>
      <c r="H505" s="160" t="s">
        <v>1209</v>
      </c>
      <c r="I505" s="162"/>
      <c r="J505" s="163"/>
      <c r="K505" s="164" t="s">
        <v>124</v>
      </c>
      <c r="L505" s="165"/>
      <c r="M505" s="166" t="s">
        <v>826</v>
      </c>
      <c r="N505" s="167">
        <v>45967</v>
      </c>
      <c r="O505" s="166" t="s">
        <v>1207</v>
      </c>
      <c r="P505" s="166"/>
      <c r="Q505" s="168"/>
      <c r="V505" s="9"/>
    </row>
    <row r="506" spans="1:22" s="142" customFormat="1" ht="12" customHeight="1" x14ac:dyDescent="0.2">
      <c r="A506" s="158">
        <v>443</v>
      </c>
      <c r="B506" s="159">
        <v>9999</v>
      </c>
      <c r="C506" s="158"/>
      <c r="D506" s="160" t="s">
        <v>1210</v>
      </c>
      <c r="E506" s="161" t="s">
        <v>121</v>
      </c>
      <c r="F506" s="160" t="s">
        <v>1211</v>
      </c>
      <c r="G506" s="160" t="s">
        <v>24</v>
      </c>
      <c r="H506" s="160" t="s">
        <v>1210</v>
      </c>
      <c r="I506" s="162"/>
      <c r="J506" s="163"/>
      <c r="K506" s="164" t="s">
        <v>124</v>
      </c>
      <c r="L506" s="165"/>
      <c r="M506" s="166" t="s">
        <v>826</v>
      </c>
      <c r="N506" s="167">
        <v>45967</v>
      </c>
      <c r="O506" s="166" t="s">
        <v>1207</v>
      </c>
      <c r="P506" s="166"/>
      <c r="Q506" s="168"/>
      <c r="V506" s="9"/>
    </row>
    <row r="507" spans="1:22" s="142" customFormat="1" ht="12" customHeight="1" x14ac:dyDescent="0.2">
      <c r="A507" s="158">
        <v>453</v>
      </c>
      <c r="B507" s="159">
        <v>9999</v>
      </c>
      <c r="C507" s="158"/>
      <c r="D507" s="160" t="s">
        <v>1212</v>
      </c>
      <c r="E507" s="161"/>
      <c r="F507" s="160" t="s">
        <v>39</v>
      </c>
      <c r="G507" s="160" t="s">
        <v>24</v>
      </c>
      <c r="H507" s="160" t="s">
        <v>1213</v>
      </c>
      <c r="I507" s="162"/>
      <c r="J507" s="163"/>
      <c r="K507" s="164" t="s">
        <v>124</v>
      </c>
      <c r="L507" s="165"/>
      <c r="M507" s="166" t="s">
        <v>826</v>
      </c>
      <c r="N507" s="167">
        <v>45967</v>
      </c>
      <c r="O507" s="166" t="s">
        <v>1207</v>
      </c>
      <c r="P507" s="166"/>
      <c r="Q507" s="168"/>
      <c r="V507" s="9"/>
    </row>
    <row r="508" spans="1:22" s="142" customFormat="1" ht="12" customHeight="1" x14ac:dyDescent="0.2">
      <c r="A508" s="158">
        <v>459</v>
      </c>
      <c r="B508" s="159">
        <v>9999</v>
      </c>
      <c r="C508" s="158"/>
      <c r="D508" s="160" t="s">
        <v>1214</v>
      </c>
      <c r="E508" s="161" t="s">
        <v>1167</v>
      </c>
      <c r="F508" s="160" t="s">
        <v>66</v>
      </c>
      <c r="G508" s="160" t="s">
        <v>388</v>
      </c>
      <c r="H508" s="160" t="s">
        <v>1215</v>
      </c>
      <c r="I508" s="162"/>
      <c r="J508" s="163"/>
      <c r="K508" s="164" t="s">
        <v>124</v>
      </c>
      <c r="L508" s="165"/>
      <c r="M508" s="166" t="s">
        <v>826</v>
      </c>
      <c r="N508" s="167">
        <v>45967</v>
      </c>
      <c r="O508" s="166" t="s">
        <v>1207</v>
      </c>
      <c r="P508" s="166"/>
      <c r="Q508" s="168"/>
      <c r="V508" s="9"/>
    </row>
    <row r="509" spans="1:22" s="142" customFormat="1" ht="12" customHeight="1" x14ac:dyDescent="0.2">
      <c r="A509" s="158">
        <v>461</v>
      </c>
      <c r="B509" s="159">
        <v>9999</v>
      </c>
      <c r="C509" s="158"/>
      <c r="D509" s="160" t="s">
        <v>1216</v>
      </c>
      <c r="E509" s="161"/>
      <c r="F509" s="160" t="s">
        <v>161</v>
      </c>
      <c r="G509" s="160" t="s">
        <v>24</v>
      </c>
      <c r="H509" s="160" t="s">
        <v>1217</v>
      </c>
      <c r="I509" s="162"/>
      <c r="J509" s="163"/>
      <c r="K509" s="164" t="s">
        <v>124</v>
      </c>
      <c r="L509" s="165"/>
      <c r="M509" s="166" t="s">
        <v>826</v>
      </c>
      <c r="N509" s="167">
        <v>45967</v>
      </c>
      <c r="O509" s="166" t="s">
        <v>1207</v>
      </c>
      <c r="P509" s="166"/>
      <c r="Q509" s="168"/>
      <c r="V509" s="9"/>
    </row>
    <row r="510" spans="1:22" s="142" customFormat="1" ht="12" customHeight="1" x14ac:dyDescent="0.2">
      <c r="A510" s="158">
        <v>463</v>
      </c>
      <c r="B510" s="159">
        <v>9999</v>
      </c>
      <c r="C510" s="158"/>
      <c r="D510" s="160" t="s">
        <v>1218</v>
      </c>
      <c r="E510" s="161" t="s">
        <v>1167</v>
      </c>
      <c r="F510" s="160" t="s">
        <v>32</v>
      </c>
      <c r="G510" s="160" t="s">
        <v>24</v>
      </c>
      <c r="H510" s="160" t="s">
        <v>1219</v>
      </c>
      <c r="I510" s="162"/>
      <c r="J510" s="163"/>
      <c r="K510" s="164" t="s">
        <v>124</v>
      </c>
      <c r="L510" s="165"/>
      <c r="M510" s="166" t="s">
        <v>826</v>
      </c>
      <c r="N510" s="167">
        <v>45967</v>
      </c>
      <c r="O510" s="166" t="s">
        <v>1207</v>
      </c>
      <c r="P510" s="166"/>
      <c r="Q510" s="168"/>
      <c r="V510" s="9"/>
    </row>
    <row r="511" spans="1:22" s="142" customFormat="1" ht="12" customHeight="1" x14ac:dyDescent="0.2">
      <c r="A511" s="158">
        <v>464</v>
      </c>
      <c r="B511" s="159">
        <v>9999</v>
      </c>
      <c r="C511" s="158"/>
      <c r="D511" s="160" t="s">
        <v>1220</v>
      </c>
      <c r="E511" s="161" t="s">
        <v>1167</v>
      </c>
      <c r="F511" s="160" t="s">
        <v>32</v>
      </c>
      <c r="G511" s="160" t="s">
        <v>24</v>
      </c>
      <c r="H511" s="160" t="s">
        <v>1220</v>
      </c>
      <c r="I511" s="162"/>
      <c r="J511" s="163"/>
      <c r="K511" s="164" t="s">
        <v>124</v>
      </c>
      <c r="L511" s="165"/>
      <c r="M511" s="166" t="s">
        <v>826</v>
      </c>
      <c r="N511" s="167">
        <v>45967</v>
      </c>
      <c r="O511" s="166" t="s">
        <v>1207</v>
      </c>
      <c r="P511" s="166"/>
      <c r="Q511" s="168"/>
      <c r="V511" s="9"/>
    </row>
    <row r="512" spans="1:22" s="142" customFormat="1" ht="12" customHeight="1" x14ac:dyDescent="0.2">
      <c r="A512" s="158">
        <v>465</v>
      </c>
      <c r="B512" s="159">
        <v>9999</v>
      </c>
      <c r="C512" s="158"/>
      <c r="D512" s="160" t="s">
        <v>1221</v>
      </c>
      <c r="E512" s="161" t="s">
        <v>1167</v>
      </c>
      <c r="F512" s="160" t="s">
        <v>32</v>
      </c>
      <c r="G512" s="160" t="s">
        <v>24</v>
      </c>
      <c r="H512" s="160" t="s">
        <v>1222</v>
      </c>
      <c r="I512" s="162"/>
      <c r="J512" s="163"/>
      <c r="K512" s="164" t="s">
        <v>124</v>
      </c>
      <c r="L512" s="165"/>
      <c r="M512" s="166" t="s">
        <v>826</v>
      </c>
      <c r="N512" s="167">
        <v>45967</v>
      </c>
      <c r="O512" s="166" t="s">
        <v>1207</v>
      </c>
      <c r="P512" s="166"/>
      <c r="Q512" s="168"/>
      <c r="V512" s="9"/>
    </row>
    <row r="513" spans="1:22" s="142" customFormat="1" ht="12" customHeight="1" x14ac:dyDescent="0.2">
      <c r="A513" s="158">
        <v>469</v>
      </c>
      <c r="B513" s="159">
        <v>9999</v>
      </c>
      <c r="C513" s="158"/>
      <c r="D513" s="160" t="s">
        <v>1223</v>
      </c>
      <c r="E513" s="161" t="s">
        <v>1224</v>
      </c>
      <c r="F513" s="160" t="s">
        <v>341</v>
      </c>
      <c r="G513" s="160" t="s">
        <v>24</v>
      </c>
      <c r="H513" s="160" t="s">
        <v>1225</v>
      </c>
      <c r="I513" s="162"/>
      <c r="J513" s="163"/>
      <c r="K513" s="164" t="s">
        <v>124</v>
      </c>
      <c r="L513" s="165"/>
      <c r="M513" s="166" t="s">
        <v>826</v>
      </c>
      <c r="N513" s="167">
        <v>45967</v>
      </c>
      <c r="O513" s="166" t="s">
        <v>1207</v>
      </c>
      <c r="P513" s="166"/>
      <c r="Q513" s="168"/>
      <c r="V513" s="9"/>
    </row>
    <row r="514" spans="1:22" s="142" customFormat="1" ht="12" customHeight="1" x14ac:dyDescent="0.2">
      <c r="A514" s="158">
        <v>470</v>
      </c>
      <c r="B514" s="159">
        <v>9999</v>
      </c>
      <c r="C514" s="158"/>
      <c r="D514" s="160" t="s">
        <v>1226</v>
      </c>
      <c r="E514" s="161" t="s">
        <v>1227</v>
      </c>
      <c r="F514" s="160" t="s">
        <v>616</v>
      </c>
      <c r="G514" s="160" t="s">
        <v>24</v>
      </c>
      <c r="H514" s="160" t="s">
        <v>1228</v>
      </c>
      <c r="I514" s="162"/>
      <c r="J514" s="163"/>
      <c r="K514" s="164" t="s">
        <v>124</v>
      </c>
      <c r="L514" s="165"/>
      <c r="M514" s="166" t="s">
        <v>826</v>
      </c>
      <c r="N514" s="167">
        <v>45967</v>
      </c>
      <c r="O514" s="166" t="s">
        <v>1207</v>
      </c>
      <c r="P514" s="166"/>
      <c r="Q514" s="168"/>
      <c r="V514" s="9"/>
    </row>
    <row r="515" spans="1:22" s="142" customFormat="1" ht="12" customHeight="1" x14ac:dyDescent="0.2">
      <c r="A515" s="158">
        <v>478</v>
      </c>
      <c r="B515" s="159">
        <v>9999</v>
      </c>
      <c r="C515" s="158"/>
      <c r="D515" s="160" t="s">
        <v>1229</v>
      </c>
      <c r="E515" s="161"/>
      <c r="F515" s="160" t="s">
        <v>32</v>
      </c>
      <c r="G515" s="160" t="s">
        <v>24</v>
      </c>
      <c r="H515" s="160" t="s">
        <v>1230</v>
      </c>
      <c r="I515" s="162"/>
      <c r="J515" s="163" t="s">
        <v>26</v>
      </c>
      <c r="K515" s="164" t="s">
        <v>124</v>
      </c>
      <c r="L515" s="165"/>
      <c r="M515" s="166" t="s">
        <v>826</v>
      </c>
      <c r="N515" s="167">
        <v>45967</v>
      </c>
      <c r="O515" s="166" t="s">
        <v>1207</v>
      </c>
      <c r="P515" s="166"/>
      <c r="Q515" s="168"/>
      <c r="V515" s="9"/>
    </row>
    <row r="516" spans="1:22" s="142" customFormat="1" ht="12" customHeight="1" x14ac:dyDescent="0.2">
      <c r="A516" s="158">
        <v>480</v>
      </c>
      <c r="B516" s="159">
        <v>9999</v>
      </c>
      <c r="C516" s="158"/>
      <c r="D516" s="160" t="s">
        <v>1231</v>
      </c>
      <c r="E516" s="161"/>
      <c r="F516" s="160" t="s">
        <v>161</v>
      </c>
      <c r="G516" s="160" t="s">
        <v>24</v>
      </c>
      <c r="H516" s="160" t="s">
        <v>1232</v>
      </c>
      <c r="I516" s="162"/>
      <c r="J516" s="163"/>
      <c r="K516" s="164" t="s">
        <v>124</v>
      </c>
      <c r="L516" s="165"/>
      <c r="M516" s="166" t="s">
        <v>826</v>
      </c>
      <c r="N516" s="167">
        <v>45967</v>
      </c>
      <c r="O516" s="166" t="s">
        <v>1207</v>
      </c>
      <c r="P516" s="166"/>
      <c r="Q516" s="168"/>
      <c r="V516" s="9"/>
    </row>
    <row r="517" spans="1:22" s="142" customFormat="1" ht="36" customHeight="1" x14ac:dyDescent="0.2">
      <c r="A517" s="158">
        <v>481</v>
      </c>
      <c r="B517" s="159">
        <v>9999</v>
      </c>
      <c r="C517" s="158"/>
      <c r="D517" s="160" t="s">
        <v>1233</v>
      </c>
      <c r="E517" s="161"/>
      <c r="F517" s="160" t="s">
        <v>32</v>
      </c>
      <c r="G517" s="160" t="s">
        <v>24</v>
      </c>
      <c r="H517" s="160"/>
      <c r="I517" s="162"/>
      <c r="J517" s="163"/>
      <c r="K517" s="164" t="s">
        <v>124</v>
      </c>
      <c r="L517" s="165"/>
      <c r="M517" s="166" t="s">
        <v>826</v>
      </c>
      <c r="N517" s="167">
        <v>45967</v>
      </c>
      <c r="O517" s="166" t="s">
        <v>1207</v>
      </c>
      <c r="P517" s="166"/>
      <c r="Q517" s="168"/>
      <c r="V517" s="9"/>
    </row>
    <row r="518" spans="1:22" s="142" customFormat="1" ht="12" customHeight="1" x14ac:dyDescent="0.2">
      <c r="A518" s="158">
        <v>483</v>
      </c>
      <c r="B518" s="159">
        <v>9999</v>
      </c>
      <c r="C518" s="158"/>
      <c r="D518" s="160" t="s">
        <v>1234</v>
      </c>
      <c r="E518" s="161"/>
      <c r="F518" s="160" t="s">
        <v>32</v>
      </c>
      <c r="G518" s="160" t="s">
        <v>24</v>
      </c>
      <c r="H518" s="160"/>
      <c r="I518" s="162"/>
      <c r="J518" s="163"/>
      <c r="K518" s="164" t="s">
        <v>124</v>
      </c>
      <c r="L518" s="165"/>
      <c r="M518" s="166" t="s">
        <v>826</v>
      </c>
      <c r="N518" s="167">
        <v>45967</v>
      </c>
      <c r="O518" s="166" t="s">
        <v>1207</v>
      </c>
      <c r="P518" s="166"/>
      <c r="Q518" s="168"/>
      <c r="V518" s="9"/>
    </row>
    <row r="519" spans="1:22" s="142" customFormat="1" ht="12" customHeight="1" x14ac:dyDescent="0.2">
      <c r="A519" s="158">
        <v>485</v>
      </c>
      <c r="B519" s="159">
        <v>9999</v>
      </c>
      <c r="C519" s="158"/>
      <c r="D519" s="160" t="s">
        <v>1235</v>
      </c>
      <c r="E519" s="161"/>
      <c r="F519" s="160" t="s">
        <v>32</v>
      </c>
      <c r="G519" s="160" t="s">
        <v>24</v>
      </c>
      <c r="H519" s="160"/>
      <c r="I519" s="162"/>
      <c r="J519" s="163" t="s">
        <v>124</v>
      </c>
      <c r="K519" s="164" t="s">
        <v>124</v>
      </c>
      <c r="L519" s="165"/>
      <c r="M519" s="166" t="s">
        <v>826</v>
      </c>
      <c r="N519" s="167">
        <v>45967</v>
      </c>
      <c r="O519" s="166" t="s">
        <v>1207</v>
      </c>
      <c r="P519" s="166"/>
      <c r="Q519" s="168"/>
      <c r="V519" s="9"/>
    </row>
    <row r="520" spans="1:22" s="142" customFormat="1" ht="12" customHeight="1" x14ac:dyDescent="0.2">
      <c r="A520" s="158">
        <v>489</v>
      </c>
      <c r="B520" s="159">
        <v>9999</v>
      </c>
      <c r="C520" s="158"/>
      <c r="D520" s="160" t="s">
        <v>1236</v>
      </c>
      <c r="E520" s="161"/>
      <c r="F520" s="160" t="s">
        <v>205</v>
      </c>
      <c r="G520" s="160" t="s">
        <v>24</v>
      </c>
      <c r="H520" s="160"/>
      <c r="I520" s="162"/>
      <c r="J520" s="163"/>
      <c r="K520" s="164"/>
      <c r="L520" s="165"/>
      <c r="M520" s="166" t="s">
        <v>826</v>
      </c>
      <c r="N520" s="167">
        <v>45967</v>
      </c>
      <c r="O520" s="166" t="s">
        <v>1207</v>
      </c>
      <c r="P520" s="166"/>
      <c r="Q520" s="168"/>
      <c r="V520" s="9"/>
    </row>
    <row r="521" spans="1:22" s="142" customFormat="1" ht="12" customHeight="1" x14ac:dyDescent="0.2">
      <c r="A521" s="158">
        <v>500</v>
      </c>
      <c r="B521" s="159">
        <v>9999</v>
      </c>
      <c r="C521" s="158"/>
      <c r="D521" s="160" t="s">
        <v>1237</v>
      </c>
      <c r="E521" s="161"/>
      <c r="F521" s="160" t="s">
        <v>317</v>
      </c>
      <c r="G521" s="160" t="s">
        <v>181</v>
      </c>
      <c r="H521" s="160" t="s">
        <v>1238</v>
      </c>
      <c r="I521" s="162"/>
      <c r="J521" s="163"/>
      <c r="K521" s="164"/>
      <c r="L521" s="165"/>
      <c r="M521" s="166" t="s">
        <v>826</v>
      </c>
      <c r="N521" s="167">
        <v>45967</v>
      </c>
      <c r="O521" s="166" t="s">
        <v>1207</v>
      </c>
      <c r="P521" s="166"/>
      <c r="Q521" s="168"/>
      <c r="V521" s="9"/>
    </row>
    <row r="522" spans="1:22" s="142" customFormat="1" ht="12" customHeight="1" x14ac:dyDescent="0.2">
      <c r="A522" s="158">
        <v>507</v>
      </c>
      <c r="B522" s="159">
        <v>9999</v>
      </c>
      <c r="C522" s="158"/>
      <c r="D522" s="160" t="s">
        <v>1239</v>
      </c>
      <c r="E522" s="161"/>
      <c r="F522" s="160" t="s">
        <v>616</v>
      </c>
      <c r="G522" s="160" t="s">
        <v>24</v>
      </c>
      <c r="H522" s="160" t="s">
        <v>1240</v>
      </c>
      <c r="I522" s="162"/>
      <c r="J522" s="163" t="s">
        <v>35</v>
      </c>
      <c r="K522" s="164" t="s">
        <v>124</v>
      </c>
      <c r="L522" s="165"/>
      <c r="M522" s="166" t="s">
        <v>826</v>
      </c>
      <c r="N522" s="167">
        <v>45967</v>
      </c>
      <c r="O522" s="166" t="s">
        <v>1207</v>
      </c>
      <c r="P522" s="166"/>
      <c r="Q522" s="168"/>
      <c r="V522" s="9"/>
    </row>
    <row r="523" spans="1:22" s="142" customFormat="1" ht="12" customHeight="1" x14ac:dyDescent="0.2">
      <c r="A523" s="158">
        <v>509</v>
      </c>
      <c r="B523" s="159">
        <v>9999</v>
      </c>
      <c r="C523" s="158"/>
      <c r="D523" s="160" t="s">
        <v>1241</v>
      </c>
      <c r="E523" s="161"/>
      <c r="F523" s="160" t="s">
        <v>32</v>
      </c>
      <c r="G523" s="160" t="s">
        <v>24</v>
      </c>
      <c r="H523" s="160" t="s">
        <v>1242</v>
      </c>
      <c r="I523" s="162"/>
      <c r="J523" s="163" t="s">
        <v>124</v>
      </c>
      <c r="K523" s="164" t="s">
        <v>124</v>
      </c>
      <c r="L523" s="165"/>
      <c r="M523" s="166" t="s">
        <v>826</v>
      </c>
      <c r="N523" s="167">
        <v>45967</v>
      </c>
      <c r="O523" s="166" t="s">
        <v>1207</v>
      </c>
      <c r="P523" s="166"/>
      <c r="Q523" s="168"/>
      <c r="V523" s="9"/>
    </row>
    <row r="524" spans="1:22" s="142" customFormat="1" ht="12" customHeight="1" x14ac:dyDescent="0.2">
      <c r="A524" s="158">
        <v>198</v>
      </c>
      <c r="B524" s="159">
        <v>9999</v>
      </c>
      <c r="C524" s="158">
        <v>2</v>
      </c>
      <c r="D524" s="160" t="s">
        <v>1243</v>
      </c>
      <c r="E524" s="161" t="s">
        <v>1171</v>
      </c>
      <c r="F524" s="160" t="s">
        <v>846</v>
      </c>
      <c r="G524" s="160" t="s">
        <v>24</v>
      </c>
      <c r="H524" s="160" t="s">
        <v>1244</v>
      </c>
      <c r="I524" s="162"/>
      <c r="J524" s="163"/>
      <c r="K524" s="164"/>
      <c r="L524" s="165"/>
      <c r="M524" s="166" t="s">
        <v>826</v>
      </c>
      <c r="N524" s="167">
        <v>46026</v>
      </c>
      <c r="O524" s="166" t="s">
        <v>1245</v>
      </c>
      <c r="P524" s="166"/>
      <c r="Q524" s="168"/>
      <c r="V524" s="9"/>
    </row>
    <row r="525" spans="1:22" s="142" customFormat="1" ht="12" customHeight="1" x14ac:dyDescent="0.2">
      <c r="A525" s="158">
        <v>314</v>
      </c>
      <c r="B525" s="159">
        <v>9999</v>
      </c>
      <c r="C525" s="158"/>
      <c r="D525" s="160" t="s">
        <v>1246</v>
      </c>
      <c r="E525" s="161" t="s">
        <v>1247</v>
      </c>
      <c r="F525" s="160" t="s">
        <v>77</v>
      </c>
      <c r="G525" s="160" t="s">
        <v>24</v>
      </c>
      <c r="H525" s="160" t="s">
        <v>1248</v>
      </c>
      <c r="I525" s="162"/>
      <c r="J525" s="163"/>
      <c r="K525" s="164"/>
      <c r="L525" s="165"/>
      <c r="M525" s="166" t="s">
        <v>826</v>
      </c>
      <c r="N525" s="167">
        <v>46026</v>
      </c>
      <c r="O525" s="166" t="s">
        <v>1245</v>
      </c>
      <c r="P525" s="166"/>
      <c r="Q525" s="168"/>
      <c r="V525" s="9"/>
    </row>
    <row r="526" spans="1:22" s="142" customFormat="1" ht="12" customHeight="1" x14ac:dyDescent="0.2">
      <c r="A526" s="158">
        <v>395</v>
      </c>
      <c r="B526" s="159">
        <v>9999</v>
      </c>
      <c r="C526" s="158"/>
      <c r="D526" s="160" t="s">
        <v>1249</v>
      </c>
      <c r="E526" s="161"/>
      <c r="F526" s="160" t="s">
        <v>23</v>
      </c>
      <c r="G526" s="160" t="s">
        <v>24</v>
      </c>
      <c r="H526" s="160"/>
      <c r="I526" s="162"/>
      <c r="J526" s="163"/>
      <c r="K526" s="164"/>
      <c r="L526" s="165"/>
      <c r="M526" s="166" t="s">
        <v>826</v>
      </c>
      <c r="N526" s="167">
        <v>46026</v>
      </c>
      <c r="O526" s="166" t="s">
        <v>1245</v>
      </c>
      <c r="P526" s="166"/>
      <c r="Q526" s="168"/>
      <c r="V526" s="9"/>
    </row>
    <row r="527" spans="1:22" s="142" customFormat="1" ht="12" customHeight="1" x14ac:dyDescent="0.2">
      <c r="A527" s="158">
        <v>410</v>
      </c>
      <c r="B527" s="159">
        <v>9999</v>
      </c>
      <c r="C527" s="158"/>
      <c r="D527" s="160" t="s">
        <v>1250</v>
      </c>
      <c r="E527" s="161"/>
      <c r="F527" s="160" t="s">
        <v>367</v>
      </c>
      <c r="G527" s="160" t="s">
        <v>24</v>
      </c>
      <c r="H527" s="160" t="s">
        <v>465</v>
      </c>
      <c r="I527" s="162"/>
      <c r="J527" s="163" t="s">
        <v>124</v>
      </c>
      <c r="K527" s="164" t="s">
        <v>124</v>
      </c>
      <c r="L527" s="165"/>
      <c r="M527" s="166" t="s">
        <v>826</v>
      </c>
      <c r="N527" s="167">
        <v>46026</v>
      </c>
      <c r="O527" s="166" t="s">
        <v>1245</v>
      </c>
      <c r="P527" s="166"/>
      <c r="Q527" s="168"/>
      <c r="V527" s="9"/>
    </row>
    <row r="528" spans="1:22" s="142" customFormat="1" ht="12" customHeight="1" x14ac:dyDescent="0.2">
      <c r="A528" s="158">
        <v>429</v>
      </c>
      <c r="B528" s="159">
        <v>9999</v>
      </c>
      <c r="C528" s="158"/>
      <c r="D528" s="160" t="s">
        <v>1251</v>
      </c>
      <c r="E528" s="161"/>
      <c r="F528" s="160" t="s">
        <v>205</v>
      </c>
      <c r="G528" s="160" t="s">
        <v>24</v>
      </c>
      <c r="H528" s="160" t="s">
        <v>1252</v>
      </c>
      <c r="I528" s="162"/>
      <c r="J528" s="163"/>
      <c r="K528" s="164"/>
      <c r="L528" s="165"/>
      <c r="M528" s="166" t="s">
        <v>826</v>
      </c>
      <c r="N528" s="167">
        <v>46026</v>
      </c>
      <c r="O528" s="166" t="s">
        <v>1245</v>
      </c>
      <c r="P528" s="166"/>
      <c r="Q528" s="168"/>
      <c r="V528" s="9"/>
    </row>
    <row r="529" spans="1:22" s="142" customFormat="1" ht="12" customHeight="1" x14ac:dyDescent="0.2">
      <c r="A529" s="158">
        <v>442</v>
      </c>
      <c r="B529" s="159">
        <v>9999</v>
      </c>
      <c r="C529" s="158"/>
      <c r="D529" s="160" t="s">
        <v>1253</v>
      </c>
      <c r="E529" s="161" t="s">
        <v>121</v>
      </c>
      <c r="F529" s="160" t="s">
        <v>1254</v>
      </c>
      <c r="G529" s="160" t="s">
        <v>24</v>
      </c>
      <c r="H529" s="160" t="s">
        <v>1255</v>
      </c>
      <c r="I529" s="162"/>
      <c r="J529" s="163" t="s">
        <v>35</v>
      </c>
      <c r="K529" s="164" t="s">
        <v>35</v>
      </c>
      <c r="L529" s="165"/>
      <c r="M529" s="166" t="s">
        <v>826</v>
      </c>
      <c r="N529" s="167">
        <v>46026</v>
      </c>
      <c r="O529" s="166" t="s">
        <v>1245</v>
      </c>
      <c r="P529" s="166"/>
      <c r="Q529" s="168"/>
      <c r="V529" s="9"/>
    </row>
    <row r="530" spans="1:22" s="142" customFormat="1" ht="12" customHeight="1" x14ac:dyDescent="0.2">
      <c r="A530" s="158">
        <v>492</v>
      </c>
      <c r="B530" s="159">
        <v>9999</v>
      </c>
      <c r="C530" s="158"/>
      <c r="D530" s="160" t="s">
        <v>1256</v>
      </c>
      <c r="E530" s="161"/>
      <c r="F530" s="160" t="s">
        <v>161</v>
      </c>
      <c r="G530" s="160" t="s">
        <v>1257</v>
      </c>
      <c r="H530" s="160" t="s">
        <v>1258</v>
      </c>
      <c r="I530" s="162"/>
      <c r="J530" s="163"/>
      <c r="K530" s="164"/>
      <c r="L530" s="165"/>
      <c r="M530" s="166" t="s">
        <v>826</v>
      </c>
      <c r="N530" s="167">
        <v>46026</v>
      </c>
      <c r="O530" s="166" t="s">
        <v>1245</v>
      </c>
      <c r="P530" s="166"/>
      <c r="Q530" s="168"/>
      <c r="V530" s="9"/>
    </row>
    <row r="531" spans="1:22" s="142" customFormat="1" ht="12" customHeight="1" x14ac:dyDescent="0.2">
      <c r="A531" s="158">
        <v>498</v>
      </c>
      <c r="B531" s="159">
        <v>9999</v>
      </c>
      <c r="C531" s="158"/>
      <c r="D531" s="160" t="s">
        <v>1259</v>
      </c>
      <c r="E531" s="161"/>
      <c r="F531" s="160" t="s">
        <v>341</v>
      </c>
      <c r="G531" s="160"/>
      <c r="H531" s="160" t="s">
        <v>1260</v>
      </c>
      <c r="I531" s="162"/>
      <c r="J531" s="163"/>
      <c r="K531" s="164"/>
      <c r="L531" s="165"/>
      <c r="M531" s="166" t="s">
        <v>826</v>
      </c>
      <c r="N531" s="167">
        <v>46026</v>
      </c>
      <c r="O531" s="166" t="s">
        <v>1245</v>
      </c>
      <c r="P531" s="166"/>
      <c r="Q531" s="168"/>
      <c r="V531" s="9"/>
    </row>
    <row r="532" spans="1:22" s="142" customFormat="1" ht="12" customHeight="1" x14ac:dyDescent="0.2">
      <c r="A532" s="158">
        <v>499</v>
      </c>
      <c r="B532" s="159">
        <v>9999</v>
      </c>
      <c r="C532" s="158"/>
      <c r="D532" s="160" t="s">
        <v>1261</v>
      </c>
      <c r="E532" s="161"/>
      <c r="F532" s="160" t="s">
        <v>341</v>
      </c>
      <c r="G532" s="160" t="s">
        <v>24</v>
      </c>
      <c r="H532" s="160" t="s">
        <v>1262</v>
      </c>
      <c r="I532" s="162"/>
      <c r="J532" s="163"/>
      <c r="K532" s="164"/>
      <c r="L532" s="165"/>
      <c r="M532" s="166" t="s">
        <v>826</v>
      </c>
      <c r="N532" s="167">
        <v>46026</v>
      </c>
      <c r="O532" s="166" t="s">
        <v>1245</v>
      </c>
      <c r="P532" s="166"/>
      <c r="Q532" s="168"/>
      <c r="V532" s="9"/>
    </row>
    <row r="533" spans="1:22" s="142" customFormat="1" ht="12" customHeight="1" x14ac:dyDescent="0.2">
      <c r="A533" s="158">
        <v>510</v>
      </c>
      <c r="B533" s="159">
        <v>9999</v>
      </c>
      <c r="C533" s="158"/>
      <c r="D533" s="160" t="s">
        <v>1263</v>
      </c>
      <c r="E533" s="161"/>
      <c r="F533" s="160" t="s">
        <v>39</v>
      </c>
      <c r="G533" s="160"/>
      <c r="H533" s="160" t="s">
        <v>1264</v>
      </c>
      <c r="I533" s="162"/>
      <c r="J533" s="163"/>
      <c r="K533" s="164"/>
      <c r="L533" s="165"/>
      <c r="M533" s="166" t="s">
        <v>826</v>
      </c>
      <c r="N533" s="167">
        <v>46026</v>
      </c>
      <c r="O533" s="166" t="s">
        <v>1245</v>
      </c>
      <c r="P533" s="166"/>
      <c r="Q533" s="168"/>
      <c r="V533" s="9"/>
    </row>
    <row r="534" spans="1:22" s="142" customFormat="1" ht="12" customHeight="1" x14ac:dyDescent="0.2">
      <c r="A534" s="158">
        <v>515</v>
      </c>
      <c r="B534" s="159">
        <v>9999</v>
      </c>
      <c r="C534" s="158"/>
      <c r="D534" s="160" t="s">
        <v>1265</v>
      </c>
      <c r="E534" s="161" t="s">
        <v>76</v>
      </c>
      <c r="F534" s="160" t="s">
        <v>127</v>
      </c>
      <c r="G534" s="160" t="s">
        <v>24</v>
      </c>
      <c r="H534" s="160" t="s">
        <v>1266</v>
      </c>
      <c r="I534" s="162"/>
      <c r="J534" s="163"/>
      <c r="K534" s="164"/>
      <c r="L534" s="165"/>
      <c r="M534" s="166" t="s">
        <v>826</v>
      </c>
      <c r="N534" s="167">
        <v>46026</v>
      </c>
      <c r="O534" s="166" t="s">
        <v>1245</v>
      </c>
      <c r="P534" s="166"/>
      <c r="Q534" s="168"/>
      <c r="V534" s="9"/>
    </row>
    <row r="535" spans="1:22" s="142" customFormat="1" ht="12" customHeight="1" x14ac:dyDescent="0.2">
      <c r="A535" s="158">
        <v>517</v>
      </c>
      <c r="B535" s="159">
        <v>9999</v>
      </c>
      <c r="C535" s="158"/>
      <c r="D535" s="160" t="s">
        <v>1267</v>
      </c>
      <c r="E535" s="161"/>
      <c r="F535" s="160" t="s">
        <v>341</v>
      </c>
      <c r="G535" s="160" t="s">
        <v>24</v>
      </c>
      <c r="H535" s="160" t="s">
        <v>1268</v>
      </c>
      <c r="I535" s="162"/>
      <c r="J535" s="163"/>
      <c r="K535" s="164"/>
      <c r="L535" s="165"/>
      <c r="M535" s="166" t="s">
        <v>826</v>
      </c>
      <c r="N535" s="167">
        <v>46026</v>
      </c>
      <c r="O535" s="166" t="s">
        <v>1245</v>
      </c>
      <c r="P535" s="166"/>
      <c r="Q535" s="168"/>
      <c r="V535" s="9"/>
    </row>
    <row r="536" spans="1:22" s="142" customFormat="1" ht="12" customHeight="1" x14ac:dyDescent="0.2">
      <c r="A536" s="158">
        <v>526</v>
      </c>
      <c r="B536" s="159">
        <v>9999</v>
      </c>
      <c r="C536" s="158"/>
      <c r="D536" s="160" t="s">
        <v>1269</v>
      </c>
      <c r="E536" s="161"/>
      <c r="F536" s="160" t="s">
        <v>341</v>
      </c>
      <c r="G536" s="160" t="s">
        <v>24</v>
      </c>
      <c r="H536" s="160" t="s">
        <v>1270</v>
      </c>
      <c r="I536" s="162"/>
      <c r="J536" s="163"/>
      <c r="K536" s="164"/>
      <c r="L536" s="165"/>
      <c r="M536" s="166" t="s">
        <v>826</v>
      </c>
      <c r="N536" s="167">
        <v>46026</v>
      </c>
      <c r="O536" s="166" t="s">
        <v>1245</v>
      </c>
      <c r="P536" s="166"/>
      <c r="Q536" s="168"/>
      <c r="R536" s="136"/>
      <c r="S536" s="136"/>
      <c r="T536" s="136"/>
      <c r="U536" s="136"/>
      <c r="V536" s="9"/>
    </row>
    <row r="537" spans="1:22" s="142" customFormat="1" ht="12" customHeight="1" x14ac:dyDescent="0.2">
      <c r="A537" s="158">
        <v>534</v>
      </c>
      <c r="B537" s="159">
        <v>9999</v>
      </c>
      <c r="C537" s="158"/>
      <c r="D537" s="160" t="s">
        <v>1271</v>
      </c>
      <c r="E537" s="161"/>
      <c r="F537" s="160" t="s">
        <v>32</v>
      </c>
      <c r="G537" s="160" t="s">
        <v>1257</v>
      </c>
      <c r="H537" s="160" t="s">
        <v>1272</v>
      </c>
      <c r="I537" s="162"/>
      <c r="J537" s="163"/>
      <c r="K537" s="164"/>
      <c r="L537" s="165"/>
      <c r="M537" s="166" t="s">
        <v>826</v>
      </c>
      <c r="N537" s="167">
        <v>46026</v>
      </c>
      <c r="O537" s="166" t="s">
        <v>1245</v>
      </c>
      <c r="P537" s="166"/>
      <c r="Q537" s="168"/>
      <c r="V537" s="9"/>
    </row>
    <row r="538" spans="1:22" s="142" customFormat="1" ht="12" customHeight="1" x14ac:dyDescent="0.2">
      <c r="A538" s="158">
        <v>541</v>
      </c>
      <c r="B538" s="159">
        <v>9999</v>
      </c>
      <c r="C538" s="158"/>
      <c r="D538" s="160" t="s">
        <v>1273</v>
      </c>
      <c r="E538" s="161"/>
      <c r="F538" s="160" t="s">
        <v>329</v>
      </c>
      <c r="G538" s="160" t="s">
        <v>24</v>
      </c>
      <c r="H538" s="160" t="s">
        <v>1274</v>
      </c>
      <c r="I538" s="162"/>
      <c r="J538" s="163"/>
      <c r="K538" s="164"/>
      <c r="L538" s="165"/>
      <c r="M538" s="166" t="s">
        <v>826</v>
      </c>
      <c r="N538" s="167">
        <v>46026</v>
      </c>
      <c r="O538" s="166" t="s">
        <v>1245</v>
      </c>
      <c r="P538" s="166"/>
      <c r="Q538" s="168"/>
      <c r="V538" s="9"/>
    </row>
    <row r="539" spans="1:22" s="142" customFormat="1" ht="12" customHeight="1" x14ac:dyDescent="0.2">
      <c r="A539" s="158">
        <v>542</v>
      </c>
      <c r="B539" s="159">
        <v>9999</v>
      </c>
      <c r="C539" s="158"/>
      <c r="D539" s="160" t="s">
        <v>1275</v>
      </c>
      <c r="E539" s="161"/>
      <c r="F539" s="160" t="s">
        <v>32</v>
      </c>
      <c r="G539" s="160" t="s">
        <v>1257</v>
      </c>
      <c r="H539" s="160" t="s">
        <v>1276</v>
      </c>
      <c r="I539" s="162"/>
      <c r="J539" s="163"/>
      <c r="K539" s="164"/>
      <c r="L539" s="165"/>
      <c r="M539" s="166" t="s">
        <v>826</v>
      </c>
      <c r="N539" s="167">
        <v>46026</v>
      </c>
      <c r="O539" s="166" t="s">
        <v>1245</v>
      </c>
      <c r="P539" s="166"/>
      <c r="Q539" s="168"/>
      <c r="V539" s="9"/>
    </row>
    <row r="540" spans="1:22" s="142" customFormat="1" ht="12" customHeight="1" x14ac:dyDescent="0.2">
      <c r="A540" s="158">
        <v>548</v>
      </c>
      <c r="B540" s="159">
        <v>9999</v>
      </c>
      <c r="C540" s="158"/>
      <c r="D540" s="160" t="s">
        <v>1277</v>
      </c>
      <c r="E540" s="161" t="s">
        <v>121</v>
      </c>
      <c r="F540" s="160" t="s">
        <v>32</v>
      </c>
      <c r="G540" s="160" t="s">
        <v>24</v>
      </c>
      <c r="H540" s="160" t="s">
        <v>1278</v>
      </c>
      <c r="I540" s="162"/>
      <c r="J540" s="163"/>
      <c r="K540" s="164"/>
      <c r="L540" s="165"/>
      <c r="M540" s="166" t="s">
        <v>826</v>
      </c>
      <c r="N540" s="167">
        <v>46026</v>
      </c>
      <c r="O540" s="166" t="s">
        <v>1245</v>
      </c>
      <c r="P540" s="166"/>
      <c r="Q540" s="168"/>
      <c r="V540" s="9"/>
    </row>
    <row r="541" spans="1:22" s="142" customFormat="1" ht="12" customHeight="1" x14ac:dyDescent="0.2">
      <c r="A541" s="158">
        <v>550</v>
      </c>
      <c r="B541" s="159">
        <v>9999</v>
      </c>
      <c r="C541" s="158"/>
      <c r="D541" s="160" t="s">
        <v>1279</v>
      </c>
      <c r="E541" s="161"/>
      <c r="F541" s="160" t="s">
        <v>239</v>
      </c>
      <c r="G541" s="160" t="s">
        <v>24</v>
      </c>
      <c r="H541" s="160" t="s">
        <v>1280</v>
      </c>
      <c r="I541" s="162"/>
      <c r="J541" s="163"/>
      <c r="K541" s="164"/>
      <c r="L541" s="165"/>
      <c r="M541" s="166" t="s">
        <v>826</v>
      </c>
      <c r="N541" s="167">
        <v>46026</v>
      </c>
      <c r="O541" s="166" t="s">
        <v>1245</v>
      </c>
      <c r="P541" s="166"/>
      <c r="Q541" s="168"/>
      <c r="V541" s="9"/>
    </row>
    <row r="542" spans="1:22" s="142" customFormat="1" ht="12" customHeight="1" x14ac:dyDescent="0.2">
      <c r="A542" s="158">
        <v>356</v>
      </c>
      <c r="B542" s="159">
        <v>9999</v>
      </c>
      <c r="C542" s="158"/>
      <c r="D542" s="160" t="s">
        <v>1281</v>
      </c>
      <c r="E542" s="161"/>
      <c r="F542" s="160" t="s">
        <v>148</v>
      </c>
      <c r="G542" s="160" t="s">
        <v>24</v>
      </c>
      <c r="H542" s="160" t="s">
        <v>1282</v>
      </c>
      <c r="I542" s="162"/>
      <c r="J542" s="163" t="s">
        <v>124</v>
      </c>
      <c r="K542" s="164" t="s">
        <v>124</v>
      </c>
      <c r="L542" s="165"/>
      <c r="M542" s="166" t="s">
        <v>826</v>
      </c>
      <c r="N542" s="167">
        <v>46044</v>
      </c>
      <c r="O542" s="166" t="s">
        <v>1283</v>
      </c>
      <c r="P542" s="166"/>
      <c r="Q542" s="168"/>
      <c r="V542" s="9"/>
    </row>
    <row r="543" spans="1:22" s="142" customFormat="1" ht="12" customHeight="1" x14ac:dyDescent="0.2">
      <c r="A543" s="158">
        <v>416</v>
      </c>
      <c r="B543" s="159">
        <v>9999</v>
      </c>
      <c r="C543" s="158"/>
      <c r="D543" s="160" t="s">
        <v>1284</v>
      </c>
      <c r="E543" s="181" t="s">
        <v>1285</v>
      </c>
      <c r="F543" s="160" t="s">
        <v>136</v>
      </c>
      <c r="G543" s="160"/>
      <c r="H543" s="160" t="s">
        <v>1286</v>
      </c>
      <c r="I543" s="162"/>
      <c r="J543" s="163" t="s">
        <v>124</v>
      </c>
      <c r="K543" s="164" t="s">
        <v>124</v>
      </c>
      <c r="L543" s="165"/>
      <c r="M543" s="166" t="s">
        <v>826</v>
      </c>
      <c r="N543" s="167">
        <v>46044</v>
      </c>
      <c r="O543" s="166" t="s">
        <v>1283</v>
      </c>
      <c r="P543" s="166"/>
      <c r="Q543" s="168"/>
      <c r="V543" s="9"/>
    </row>
    <row r="544" spans="1:22" s="142" customFormat="1" ht="12" customHeight="1" x14ac:dyDescent="0.2">
      <c r="A544" s="158">
        <v>521</v>
      </c>
      <c r="B544" s="159">
        <v>9999</v>
      </c>
      <c r="C544" s="158"/>
      <c r="D544" s="160" t="s">
        <v>1287</v>
      </c>
      <c r="E544" s="161" t="s">
        <v>1288</v>
      </c>
      <c r="F544" s="160" t="s">
        <v>66</v>
      </c>
      <c r="G544" s="160"/>
      <c r="H544" s="160" t="s">
        <v>1289</v>
      </c>
      <c r="I544" s="162"/>
      <c r="J544" s="163" t="s">
        <v>124</v>
      </c>
      <c r="K544" s="164" t="s">
        <v>124</v>
      </c>
      <c r="L544" s="165"/>
      <c r="M544" s="166" t="s">
        <v>826</v>
      </c>
      <c r="N544" s="167">
        <v>46044</v>
      </c>
      <c r="O544" s="166" t="s">
        <v>1283</v>
      </c>
      <c r="P544" s="166"/>
      <c r="Q544" s="168"/>
      <c r="V544" s="9"/>
    </row>
    <row r="545" spans="1:22" s="142" customFormat="1" ht="12" customHeight="1" x14ac:dyDescent="0.2">
      <c r="A545" s="158">
        <v>528</v>
      </c>
      <c r="B545" s="159">
        <v>9999</v>
      </c>
      <c r="C545" s="158"/>
      <c r="D545" s="160" t="s">
        <v>1290</v>
      </c>
      <c r="E545" s="161" t="s">
        <v>1288</v>
      </c>
      <c r="F545" s="160" t="s">
        <v>66</v>
      </c>
      <c r="G545" s="160" t="s">
        <v>33</v>
      </c>
      <c r="H545" s="160" t="s">
        <v>1291</v>
      </c>
      <c r="I545" s="162"/>
      <c r="J545" s="163" t="s">
        <v>124</v>
      </c>
      <c r="K545" s="164" t="s">
        <v>124</v>
      </c>
      <c r="L545" s="165"/>
      <c r="M545" s="166" t="s">
        <v>826</v>
      </c>
      <c r="N545" s="167">
        <v>46044</v>
      </c>
      <c r="O545" s="166" t="s">
        <v>1283</v>
      </c>
      <c r="P545" s="166"/>
      <c r="Q545" s="168"/>
      <c r="V545" s="9"/>
    </row>
    <row r="546" spans="1:22" s="142" customFormat="1" ht="12" customHeight="1" x14ac:dyDescent="0.2">
      <c r="A546" s="158">
        <v>551</v>
      </c>
      <c r="B546" s="159">
        <v>9999</v>
      </c>
      <c r="C546" s="158"/>
      <c r="D546" s="160" t="s">
        <v>1292</v>
      </c>
      <c r="E546" s="161" t="s">
        <v>1293</v>
      </c>
      <c r="F546" s="160" t="s">
        <v>341</v>
      </c>
      <c r="G546" s="160" t="s">
        <v>24</v>
      </c>
      <c r="H546" s="160" t="s">
        <v>1294</v>
      </c>
      <c r="I546" s="162"/>
      <c r="J546" s="163" t="s">
        <v>1295</v>
      </c>
      <c r="K546" s="164" t="s">
        <v>103</v>
      </c>
      <c r="L546" s="165"/>
      <c r="M546" s="166" t="s">
        <v>826</v>
      </c>
      <c r="N546" s="167">
        <v>46044</v>
      </c>
      <c r="O546" s="166" t="s">
        <v>1283</v>
      </c>
      <c r="P546" s="166"/>
      <c r="Q546" s="168"/>
      <c r="V546" s="9"/>
    </row>
    <row r="547" spans="1:22" s="142" customFormat="1" ht="12" customHeight="1" x14ac:dyDescent="0.2">
      <c r="A547" s="158">
        <v>382</v>
      </c>
      <c r="B547" s="159">
        <v>9999</v>
      </c>
      <c r="C547" s="158">
        <v>5</v>
      </c>
      <c r="D547" s="160" t="s">
        <v>1296</v>
      </c>
      <c r="E547" s="161" t="s">
        <v>1171</v>
      </c>
      <c r="F547" s="160" t="s">
        <v>1297</v>
      </c>
      <c r="G547" s="160" t="s">
        <v>24</v>
      </c>
      <c r="H547" s="160"/>
      <c r="I547" s="162"/>
      <c r="J547" s="163" t="s">
        <v>35</v>
      </c>
      <c r="K547" s="164" t="s">
        <v>124</v>
      </c>
      <c r="L547" s="165"/>
      <c r="M547" s="166" t="s">
        <v>826</v>
      </c>
      <c r="N547" s="167">
        <v>46054</v>
      </c>
      <c r="O547" s="166" t="s">
        <v>1298</v>
      </c>
      <c r="P547" s="166"/>
      <c r="Q547" s="168"/>
      <c r="V547" s="9"/>
    </row>
    <row r="548" spans="1:22" s="142" customFormat="1" ht="12" customHeight="1" x14ac:dyDescent="0.2">
      <c r="A548" s="158">
        <v>39</v>
      </c>
      <c r="B548" s="159">
        <v>9999</v>
      </c>
      <c r="C548" s="158"/>
      <c r="D548" s="160" t="s">
        <v>1299</v>
      </c>
      <c r="E548" s="161"/>
      <c r="F548" s="160" t="s">
        <v>1300</v>
      </c>
      <c r="G548" s="160" t="s">
        <v>24</v>
      </c>
      <c r="H548" s="160" t="s">
        <v>1301</v>
      </c>
      <c r="I548" s="162"/>
      <c r="J548" s="163" t="s">
        <v>124</v>
      </c>
      <c r="K548" s="164" t="s">
        <v>124</v>
      </c>
      <c r="L548" s="165"/>
      <c r="M548" s="166" t="s">
        <v>826</v>
      </c>
      <c r="N548" s="167">
        <v>46054</v>
      </c>
      <c r="O548" s="166" t="s">
        <v>1298</v>
      </c>
      <c r="P548" s="166"/>
      <c r="Q548" s="168"/>
      <c r="V548" s="9"/>
    </row>
    <row r="549" spans="1:22" s="142" customFormat="1" ht="12" customHeight="1" x14ac:dyDescent="0.2">
      <c r="A549" s="158">
        <v>370</v>
      </c>
      <c r="B549" s="159">
        <v>9999</v>
      </c>
      <c r="C549" s="158"/>
      <c r="D549" s="160" t="s">
        <v>1302</v>
      </c>
      <c r="E549" s="161" t="s">
        <v>121</v>
      </c>
      <c r="F549" s="160" t="s">
        <v>239</v>
      </c>
      <c r="G549" s="160" t="s">
        <v>24</v>
      </c>
      <c r="H549" s="160" t="s">
        <v>1303</v>
      </c>
      <c r="I549" s="162"/>
      <c r="J549" s="163" t="s">
        <v>124</v>
      </c>
      <c r="K549" s="164" t="s">
        <v>124</v>
      </c>
      <c r="L549" s="165"/>
      <c r="M549" s="166" t="s">
        <v>826</v>
      </c>
      <c r="N549" s="167">
        <v>46054</v>
      </c>
      <c r="O549" s="166" t="s">
        <v>1298</v>
      </c>
      <c r="P549" s="166"/>
      <c r="Q549" s="168"/>
      <c r="V549" s="9"/>
    </row>
    <row r="550" spans="1:22" s="142" customFormat="1" ht="12" customHeight="1" x14ac:dyDescent="0.2">
      <c r="A550" s="158">
        <v>389</v>
      </c>
      <c r="B550" s="159">
        <v>9999</v>
      </c>
      <c r="C550" s="158"/>
      <c r="D550" s="160" t="s">
        <v>1304</v>
      </c>
      <c r="E550" s="161" t="s">
        <v>121</v>
      </c>
      <c r="F550" s="160" t="s">
        <v>32</v>
      </c>
      <c r="G550" s="160"/>
      <c r="H550" s="160" t="s">
        <v>1305</v>
      </c>
      <c r="I550" s="162"/>
      <c r="J550" s="163"/>
      <c r="K550" s="164" t="s">
        <v>124</v>
      </c>
      <c r="L550" s="165"/>
      <c r="M550" s="166" t="s">
        <v>826</v>
      </c>
      <c r="N550" s="167">
        <v>46054</v>
      </c>
      <c r="O550" s="166" t="s">
        <v>1298</v>
      </c>
      <c r="P550" s="166"/>
      <c r="Q550" s="168"/>
      <c r="V550" s="9"/>
    </row>
    <row r="551" spans="1:22" s="142" customFormat="1" ht="12" customHeight="1" x14ac:dyDescent="0.2">
      <c r="A551" s="158">
        <v>444</v>
      </c>
      <c r="B551" s="159">
        <v>9999</v>
      </c>
      <c r="C551" s="158"/>
      <c r="D551" s="160" t="s">
        <v>1306</v>
      </c>
      <c r="E551" s="161" t="s">
        <v>1167</v>
      </c>
      <c r="F551" s="160" t="s">
        <v>32</v>
      </c>
      <c r="G551" s="160" t="s">
        <v>24</v>
      </c>
      <c r="H551" s="160" t="s">
        <v>1307</v>
      </c>
      <c r="I551" s="162"/>
      <c r="J551" s="163" t="s">
        <v>124</v>
      </c>
      <c r="K551" s="164" t="s">
        <v>124</v>
      </c>
      <c r="L551" s="165"/>
      <c r="M551" s="166" t="s">
        <v>826</v>
      </c>
      <c r="N551" s="167">
        <v>46054</v>
      </c>
      <c r="O551" s="166" t="s">
        <v>1298</v>
      </c>
      <c r="P551" s="166"/>
      <c r="Q551" s="168"/>
      <c r="V551" s="9"/>
    </row>
    <row r="552" spans="1:22" s="142" customFormat="1" ht="12" customHeight="1" x14ac:dyDescent="0.2">
      <c r="A552" s="158">
        <v>476</v>
      </c>
      <c r="B552" s="159">
        <v>9999</v>
      </c>
      <c r="C552" s="158"/>
      <c r="D552" s="160" t="s">
        <v>1308</v>
      </c>
      <c r="E552" s="161" t="s">
        <v>268</v>
      </c>
      <c r="F552" s="160" t="s">
        <v>32</v>
      </c>
      <c r="G552" s="160" t="s">
        <v>24</v>
      </c>
      <c r="H552" s="160" t="s">
        <v>1309</v>
      </c>
      <c r="I552" s="162"/>
      <c r="J552" s="163" t="s">
        <v>124</v>
      </c>
      <c r="K552" s="164" t="s">
        <v>124</v>
      </c>
      <c r="L552" s="165"/>
      <c r="M552" s="166" t="s">
        <v>826</v>
      </c>
      <c r="N552" s="167">
        <v>46054</v>
      </c>
      <c r="O552" s="166" t="s">
        <v>1298</v>
      </c>
      <c r="P552" s="166"/>
      <c r="Q552" s="168"/>
      <c r="V552" s="9"/>
    </row>
    <row r="553" spans="1:22" s="142" customFormat="1" ht="12" customHeight="1" x14ac:dyDescent="0.2">
      <c r="A553" s="158">
        <v>490</v>
      </c>
      <c r="B553" s="159">
        <v>9999</v>
      </c>
      <c r="C553" s="158"/>
      <c r="D553" s="160" t="s">
        <v>1310</v>
      </c>
      <c r="E553" s="161" t="s">
        <v>221</v>
      </c>
      <c r="F553" s="160" t="s">
        <v>1311</v>
      </c>
      <c r="G553" s="160" t="s">
        <v>24</v>
      </c>
      <c r="H553" s="160" t="s">
        <v>1312</v>
      </c>
      <c r="I553" s="162"/>
      <c r="J553" s="163" t="s">
        <v>124</v>
      </c>
      <c r="K553" s="164" t="s">
        <v>35</v>
      </c>
      <c r="L553" s="165"/>
      <c r="M553" s="166" t="s">
        <v>826</v>
      </c>
      <c r="N553" s="167">
        <v>46054</v>
      </c>
      <c r="O553" s="166" t="s">
        <v>1298</v>
      </c>
      <c r="P553" s="166"/>
      <c r="Q553" s="168"/>
      <c r="V553" s="9"/>
    </row>
    <row r="554" spans="1:22" s="142" customFormat="1" ht="12" customHeight="1" x14ac:dyDescent="0.2">
      <c r="A554" s="158">
        <v>491</v>
      </c>
      <c r="B554" s="159">
        <v>9999</v>
      </c>
      <c r="C554" s="158"/>
      <c r="D554" s="160" t="s">
        <v>1313</v>
      </c>
      <c r="E554" s="161" t="s">
        <v>80</v>
      </c>
      <c r="F554" s="160" t="s">
        <v>1048</v>
      </c>
      <c r="G554" s="160" t="s">
        <v>24</v>
      </c>
      <c r="H554" s="160" t="s">
        <v>1314</v>
      </c>
      <c r="I554" s="162"/>
      <c r="J554" s="163" t="s">
        <v>124</v>
      </c>
      <c r="K554" s="164" t="s">
        <v>124</v>
      </c>
      <c r="L554" s="165"/>
      <c r="M554" s="166" t="s">
        <v>826</v>
      </c>
      <c r="N554" s="167">
        <v>46054</v>
      </c>
      <c r="O554" s="166" t="s">
        <v>1298</v>
      </c>
      <c r="P554" s="166"/>
      <c r="Q554" s="168"/>
      <c r="V554" s="9"/>
    </row>
    <row r="555" spans="1:22" s="142" customFormat="1" ht="12" customHeight="1" x14ac:dyDescent="0.2">
      <c r="A555" s="158">
        <v>504</v>
      </c>
      <c r="B555" s="159">
        <v>9999</v>
      </c>
      <c r="C555" s="158"/>
      <c r="D555" s="160" t="s">
        <v>1315</v>
      </c>
      <c r="E555" s="161" t="s">
        <v>76</v>
      </c>
      <c r="F555" s="160" t="s">
        <v>665</v>
      </c>
      <c r="G555" s="160" t="s">
        <v>24</v>
      </c>
      <c r="H555" s="160"/>
      <c r="I555" s="162"/>
      <c r="J555" s="163" t="s">
        <v>124</v>
      </c>
      <c r="K555" s="164" t="s">
        <v>1316</v>
      </c>
      <c r="L555" s="165"/>
      <c r="M555" s="166" t="s">
        <v>826</v>
      </c>
      <c r="N555" s="167">
        <v>46054</v>
      </c>
      <c r="O555" s="166" t="s">
        <v>1298</v>
      </c>
      <c r="P555" s="166"/>
      <c r="Q555" s="168"/>
      <c r="V555" s="9"/>
    </row>
    <row r="556" spans="1:22" s="142" customFormat="1" ht="12" customHeight="1" x14ac:dyDescent="0.2">
      <c r="A556" s="158">
        <v>511</v>
      </c>
      <c r="B556" s="159">
        <v>9999</v>
      </c>
      <c r="C556" s="158"/>
      <c r="D556" s="160" t="s">
        <v>1317</v>
      </c>
      <c r="E556" s="161" t="s">
        <v>268</v>
      </c>
      <c r="F556" s="160" t="s">
        <v>32</v>
      </c>
      <c r="G556" s="160" t="s">
        <v>24</v>
      </c>
      <c r="H556" s="160" t="s">
        <v>1309</v>
      </c>
      <c r="I556" s="162"/>
      <c r="J556" s="163"/>
      <c r="K556" s="164" t="s">
        <v>124</v>
      </c>
      <c r="L556" s="165"/>
      <c r="M556" s="166" t="s">
        <v>627</v>
      </c>
      <c r="N556" s="167">
        <v>46054</v>
      </c>
      <c r="O556" s="166" t="s">
        <v>1298</v>
      </c>
      <c r="P556" s="166"/>
      <c r="Q556" s="168"/>
      <c r="V556" s="9"/>
    </row>
    <row r="557" spans="1:22" s="142" customFormat="1" ht="12" customHeight="1" x14ac:dyDescent="0.2">
      <c r="A557" s="158">
        <v>513</v>
      </c>
      <c r="B557" s="159">
        <v>9999</v>
      </c>
      <c r="C557" s="158"/>
      <c r="D557" s="160" t="s">
        <v>1318</v>
      </c>
      <c r="E557" s="161" t="s">
        <v>1319</v>
      </c>
      <c r="F557" s="160" t="s">
        <v>32</v>
      </c>
      <c r="G557" s="160" t="s">
        <v>24</v>
      </c>
      <c r="H557" s="160" t="s">
        <v>1320</v>
      </c>
      <c r="I557" s="162"/>
      <c r="J557" s="163" t="s">
        <v>124</v>
      </c>
      <c r="K557" s="164" t="s">
        <v>124</v>
      </c>
      <c r="L557" s="165"/>
      <c r="M557" s="166" t="s">
        <v>826</v>
      </c>
      <c r="N557" s="167">
        <v>46054</v>
      </c>
      <c r="O557" s="166" t="s">
        <v>1298</v>
      </c>
      <c r="P557" s="166"/>
      <c r="Q557" s="168"/>
      <c r="V557" s="9"/>
    </row>
    <row r="558" spans="1:22" s="142" customFormat="1" ht="12" customHeight="1" x14ac:dyDescent="0.2">
      <c r="A558" s="158">
        <v>555</v>
      </c>
      <c r="B558" s="159">
        <v>9999</v>
      </c>
      <c r="C558" s="158"/>
      <c r="D558" s="160" t="s">
        <v>1321</v>
      </c>
      <c r="E558" s="161" t="s">
        <v>1141</v>
      </c>
      <c r="F558" s="160" t="s">
        <v>239</v>
      </c>
      <c r="G558" s="160" t="s">
        <v>24</v>
      </c>
      <c r="H558" s="160" t="s">
        <v>1322</v>
      </c>
      <c r="I558" s="162"/>
      <c r="J558" s="163" t="s">
        <v>124</v>
      </c>
      <c r="K558" s="164" t="s">
        <v>124</v>
      </c>
      <c r="L558" s="165"/>
      <c r="M558" s="166" t="s">
        <v>826</v>
      </c>
      <c r="N558" s="167">
        <v>46054</v>
      </c>
      <c r="O558" s="166" t="s">
        <v>1298</v>
      </c>
      <c r="P558" s="166"/>
      <c r="Q558" s="168"/>
      <c r="V558" s="9"/>
    </row>
    <row r="559" spans="1:22" s="142" customFormat="1" ht="12" customHeight="1" x14ac:dyDescent="0.2">
      <c r="A559" s="158">
        <v>556</v>
      </c>
      <c r="B559" s="159">
        <v>9999</v>
      </c>
      <c r="C559" s="158"/>
      <c r="D559" s="160" t="s">
        <v>1323</v>
      </c>
      <c r="E559" s="161" t="s">
        <v>1141</v>
      </c>
      <c r="F559" s="160" t="s">
        <v>239</v>
      </c>
      <c r="G559" s="160" t="s">
        <v>24</v>
      </c>
      <c r="H559" s="160" t="s">
        <v>1324</v>
      </c>
      <c r="I559" s="162"/>
      <c r="J559" s="163" t="s">
        <v>124</v>
      </c>
      <c r="K559" s="164" t="s">
        <v>124</v>
      </c>
      <c r="L559" s="165"/>
      <c r="M559" s="166" t="s">
        <v>826</v>
      </c>
      <c r="N559" s="167">
        <v>46054</v>
      </c>
      <c r="O559" s="166" t="s">
        <v>1298</v>
      </c>
      <c r="P559" s="166"/>
      <c r="Q559" s="168"/>
      <c r="V559" s="9">
        <v>11</v>
      </c>
    </row>
    <row r="560" spans="1:22" s="142" customFormat="1" ht="12" customHeight="1" x14ac:dyDescent="0.2">
      <c r="A560" s="158">
        <v>557</v>
      </c>
      <c r="B560" s="159">
        <v>9999</v>
      </c>
      <c r="C560" s="158"/>
      <c r="D560" s="160" t="s">
        <v>1325</v>
      </c>
      <c r="E560" s="161" t="s">
        <v>1141</v>
      </c>
      <c r="F560" s="160" t="s">
        <v>239</v>
      </c>
      <c r="G560" s="160" t="s">
        <v>24</v>
      </c>
      <c r="H560" s="160" t="s">
        <v>1326</v>
      </c>
      <c r="I560" s="162"/>
      <c r="J560" s="163" t="s">
        <v>124</v>
      </c>
      <c r="K560" s="164" t="s">
        <v>124</v>
      </c>
      <c r="L560" s="165"/>
      <c r="M560" s="166" t="s">
        <v>826</v>
      </c>
      <c r="N560" s="167">
        <v>46054</v>
      </c>
      <c r="O560" s="166" t="s">
        <v>1298</v>
      </c>
      <c r="P560" s="166"/>
      <c r="Q560" s="168"/>
      <c r="V560" s="9"/>
    </row>
    <row r="561" spans="1:22" s="142" customFormat="1" ht="12" customHeight="1" x14ac:dyDescent="0.2">
      <c r="A561" s="158">
        <v>558</v>
      </c>
      <c r="B561" s="159">
        <v>9999</v>
      </c>
      <c r="C561" s="158"/>
      <c r="D561" s="160" t="s">
        <v>1327</v>
      </c>
      <c r="E561" s="161" t="s">
        <v>1141</v>
      </c>
      <c r="F561" s="160" t="s">
        <v>239</v>
      </c>
      <c r="G561" s="160" t="s">
        <v>24</v>
      </c>
      <c r="H561" s="160" t="s">
        <v>1328</v>
      </c>
      <c r="I561" s="162"/>
      <c r="J561" s="163" t="s">
        <v>124</v>
      </c>
      <c r="K561" s="164" t="s">
        <v>124</v>
      </c>
      <c r="L561" s="165"/>
      <c r="M561" s="166" t="s">
        <v>826</v>
      </c>
      <c r="N561" s="167">
        <v>46054</v>
      </c>
      <c r="O561" s="166" t="s">
        <v>1298</v>
      </c>
      <c r="P561" s="166"/>
      <c r="Q561" s="168"/>
      <c r="V561" s="96"/>
    </row>
    <row r="562" spans="1:22" s="142" customFormat="1" ht="12" customHeight="1" x14ac:dyDescent="0.2">
      <c r="A562" s="158">
        <v>571</v>
      </c>
      <c r="B562" s="159">
        <v>9999</v>
      </c>
      <c r="C562" s="158"/>
      <c r="D562" s="160" t="s">
        <v>1329</v>
      </c>
      <c r="E562" s="161"/>
      <c r="F562" s="160" t="s">
        <v>32</v>
      </c>
      <c r="G562" s="160" t="s">
        <v>24</v>
      </c>
      <c r="H562" s="160" t="s">
        <v>1330</v>
      </c>
      <c r="I562" s="162"/>
      <c r="J562" s="163" t="s">
        <v>124</v>
      </c>
      <c r="K562" s="164" t="s">
        <v>124</v>
      </c>
      <c r="L562" s="165"/>
      <c r="M562" s="166" t="s">
        <v>826</v>
      </c>
      <c r="N562" s="167">
        <v>46054</v>
      </c>
      <c r="O562" s="166" t="s">
        <v>1298</v>
      </c>
      <c r="P562" s="166"/>
      <c r="Q562" s="168"/>
      <c r="V562" s="9"/>
    </row>
    <row r="563" spans="1:22" s="142" customFormat="1" ht="12" customHeight="1" x14ac:dyDescent="0.2">
      <c r="A563" s="158">
        <v>587</v>
      </c>
      <c r="B563" s="159">
        <v>9999</v>
      </c>
      <c r="C563" s="158"/>
      <c r="D563" s="160" t="s">
        <v>1331</v>
      </c>
      <c r="E563" s="161" t="s">
        <v>1141</v>
      </c>
      <c r="F563" s="160" t="s">
        <v>161</v>
      </c>
      <c r="G563" s="160" t="s">
        <v>24</v>
      </c>
      <c r="H563" s="160" t="s">
        <v>1332</v>
      </c>
      <c r="I563" s="162"/>
      <c r="J563" s="163" t="s">
        <v>124</v>
      </c>
      <c r="K563" s="164" t="s">
        <v>83</v>
      </c>
      <c r="L563" s="165"/>
      <c r="M563" s="166" t="s">
        <v>826</v>
      </c>
      <c r="N563" s="167">
        <v>46054</v>
      </c>
      <c r="O563" s="166" t="s">
        <v>1298</v>
      </c>
      <c r="P563" s="166"/>
      <c r="Q563" s="168"/>
      <c r="V563" s="9"/>
    </row>
    <row r="564" spans="1:22" s="142" customFormat="1" ht="12" customHeight="1" x14ac:dyDescent="0.2">
      <c r="A564" s="158">
        <v>561</v>
      </c>
      <c r="B564" s="159">
        <v>9999</v>
      </c>
      <c r="C564" s="158"/>
      <c r="D564" s="160" t="s">
        <v>1333</v>
      </c>
      <c r="E564" s="161" t="s">
        <v>170</v>
      </c>
      <c r="F564" s="160" t="s">
        <v>673</v>
      </c>
      <c r="G564" s="160"/>
      <c r="H564" s="160" t="s">
        <v>1334</v>
      </c>
      <c r="I564" s="162"/>
      <c r="J564" s="163" t="s">
        <v>35</v>
      </c>
      <c r="K564" s="164" t="s">
        <v>35</v>
      </c>
      <c r="L564" s="165"/>
      <c r="M564" s="166" t="s">
        <v>826</v>
      </c>
      <c r="N564" s="167">
        <v>46056</v>
      </c>
      <c r="O564" s="166" t="s">
        <v>1335</v>
      </c>
      <c r="P564" s="166"/>
      <c r="Q564" s="168"/>
      <c r="V564" s="9"/>
    </row>
    <row r="565" spans="1:22" s="142" customFormat="1" ht="12" customHeight="1" x14ac:dyDescent="0.2">
      <c r="A565" s="171">
        <v>423</v>
      </c>
      <c r="B565" s="159">
        <v>9999</v>
      </c>
      <c r="C565" s="171"/>
      <c r="D565" s="172" t="s">
        <v>1336</v>
      </c>
      <c r="E565" s="173" t="s">
        <v>1160</v>
      </c>
      <c r="F565" s="174" t="s">
        <v>1337</v>
      </c>
      <c r="G565" s="174" t="s">
        <v>24</v>
      </c>
      <c r="H565" s="172"/>
      <c r="I565" s="162">
        <f>40050+17700+4320</f>
        <v>62070</v>
      </c>
      <c r="J565" s="182" t="s">
        <v>124</v>
      </c>
      <c r="K565" s="175" t="s">
        <v>124</v>
      </c>
      <c r="L565" s="183"/>
      <c r="M565" s="184" t="s">
        <v>826</v>
      </c>
      <c r="N565" s="185">
        <v>46078</v>
      </c>
      <c r="O565" s="186" t="s">
        <v>1338</v>
      </c>
      <c r="P565" s="186"/>
      <c r="Q565" s="187"/>
      <c r="V565" s="9"/>
    </row>
    <row r="566" spans="1:22" s="142" customFormat="1" ht="12" customHeight="1" x14ac:dyDescent="0.2">
      <c r="A566" s="171">
        <v>445</v>
      </c>
      <c r="B566" s="159">
        <v>9999</v>
      </c>
      <c r="C566" s="171"/>
      <c r="D566" s="188" t="s">
        <v>1339</v>
      </c>
      <c r="E566" s="189" t="s">
        <v>121</v>
      </c>
      <c r="F566" s="174" t="s">
        <v>1340</v>
      </c>
      <c r="G566" s="174" t="s">
        <v>24</v>
      </c>
      <c r="H566" s="172" t="s">
        <v>1341</v>
      </c>
      <c r="I566" s="162">
        <v>4320</v>
      </c>
      <c r="J566" s="182" t="s">
        <v>124</v>
      </c>
      <c r="K566" s="175" t="s">
        <v>124</v>
      </c>
      <c r="L566" s="183"/>
      <c r="M566" s="184" t="s">
        <v>826</v>
      </c>
      <c r="N566" s="185">
        <v>46078</v>
      </c>
      <c r="O566" s="190" t="s">
        <v>1338</v>
      </c>
      <c r="P566" s="190"/>
      <c r="Q566" s="191"/>
      <c r="V566" s="9"/>
    </row>
    <row r="567" spans="1:22" s="142" customFormat="1" ht="12" customHeight="1" x14ac:dyDescent="0.2">
      <c r="A567" s="171">
        <v>560</v>
      </c>
      <c r="B567" s="159">
        <v>9999</v>
      </c>
      <c r="C567" s="171"/>
      <c r="D567" s="172" t="s">
        <v>1342</v>
      </c>
      <c r="E567" s="173"/>
      <c r="F567" s="174" t="s">
        <v>320</v>
      </c>
      <c r="G567" s="174" t="s">
        <v>24</v>
      </c>
      <c r="H567" s="172" t="s">
        <v>1343</v>
      </c>
      <c r="I567" s="162"/>
      <c r="J567" s="182" t="s">
        <v>124</v>
      </c>
      <c r="K567" s="175" t="s">
        <v>124</v>
      </c>
      <c r="L567" s="183"/>
      <c r="M567" s="184" t="s">
        <v>826</v>
      </c>
      <c r="N567" s="178">
        <v>46078</v>
      </c>
      <c r="O567" s="177" t="s">
        <v>1338</v>
      </c>
      <c r="P567" s="177"/>
      <c r="Q567" s="192"/>
      <c r="V567" s="9"/>
    </row>
    <row r="568" spans="1:22" s="142" customFormat="1" ht="12" customHeight="1" x14ac:dyDescent="0.2">
      <c r="A568" s="171">
        <v>594</v>
      </c>
      <c r="B568" s="159">
        <v>9999</v>
      </c>
      <c r="C568" s="171"/>
      <c r="D568" s="172" t="s">
        <v>1344</v>
      </c>
      <c r="E568" s="173" t="s">
        <v>1160</v>
      </c>
      <c r="F568" s="174" t="s">
        <v>1345</v>
      </c>
      <c r="G568" s="174" t="s">
        <v>24</v>
      </c>
      <c r="H568" s="172" t="s">
        <v>1346</v>
      </c>
      <c r="I568" s="162">
        <f>60000+4320</f>
        <v>64320</v>
      </c>
      <c r="J568" s="182" t="s">
        <v>124</v>
      </c>
      <c r="K568" s="175" t="s">
        <v>124</v>
      </c>
      <c r="L568" s="183"/>
      <c r="M568" s="184" t="s">
        <v>826</v>
      </c>
      <c r="N568" s="178">
        <v>46078</v>
      </c>
      <c r="O568" s="179" t="s">
        <v>1338</v>
      </c>
      <c r="P568" s="179"/>
      <c r="Q568" s="180"/>
      <c r="V568" s="9"/>
    </row>
    <row r="569" spans="1:22" s="142" customFormat="1" ht="12" customHeight="1" x14ac:dyDescent="0.2">
      <c r="A569" s="171">
        <v>595</v>
      </c>
      <c r="B569" s="159">
        <v>9999</v>
      </c>
      <c r="C569" s="171"/>
      <c r="D569" s="172" t="s">
        <v>1347</v>
      </c>
      <c r="E569" s="173"/>
      <c r="F569" s="174" t="s">
        <v>650</v>
      </c>
      <c r="G569" s="174" t="s">
        <v>24</v>
      </c>
      <c r="H569" s="172" t="s">
        <v>1348</v>
      </c>
      <c r="I569" s="162">
        <f>15600+61341</f>
        <v>76941</v>
      </c>
      <c r="J569" s="182" t="s">
        <v>124</v>
      </c>
      <c r="K569" s="175" t="s">
        <v>124</v>
      </c>
      <c r="L569" s="183"/>
      <c r="M569" s="184" t="s">
        <v>826</v>
      </c>
      <c r="N569" s="185">
        <v>46078</v>
      </c>
      <c r="O569" s="190" t="s">
        <v>1338</v>
      </c>
      <c r="P569" s="190"/>
      <c r="Q569" s="191"/>
      <c r="V569" s="9"/>
    </row>
    <row r="570" spans="1:22" s="142" customFormat="1" ht="12" customHeight="1" x14ac:dyDescent="0.2">
      <c r="A570" s="171">
        <v>596</v>
      </c>
      <c r="B570" s="159">
        <v>9999</v>
      </c>
      <c r="C570" s="171"/>
      <c r="D570" s="172" t="s">
        <v>1349</v>
      </c>
      <c r="E570" s="193" t="s">
        <v>1160</v>
      </c>
      <c r="F570" s="174" t="s">
        <v>127</v>
      </c>
      <c r="G570" s="174" t="s">
        <v>24</v>
      </c>
      <c r="H570" s="172" t="s">
        <v>1350</v>
      </c>
      <c r="I570" s="162">
        <v>19800</v>
      </c>
      <c r="J570" s="182" t="s">
        <v>1351</v>
      </c>
      <c r="K570" s="175" t="s">
        <v>124</v>
      </c>
      <c r="L570" s="183"/>
      <c r="M570" s="184" t="s">
        <v>826</v>
      </c>
      <c r="N570" s="185">
        <v>46078</v>
      </c>
      <c r="O570" s="190" t="s">
        <v>1338</v>
      </c>
      <c r="P570" s="190"/>
      <c r="Q570" s="191"/>
      <c r="R570" s="157"/>
      <c r="S570" s="157"/>
      <c r="T570" s="157"/>
      <c r="U570" s="157"/>
      <c r="V570" s="9"/>
    </row>
    <row r="571" spans="1:22" s="142" customFormat="1" ht="12" customHeight="1" x14ac:dyDescent="0.2">
      <c r="A571" s="158">
        <v>609</v>
      </c>
      <c r="B571" s="159">
        <v>9999</v>
      </c>
      <c r="C571" s="158"/>
      <c r="D571" s="172" t="s">
        <v>1352</v>
      </c>
      <c r="E571" s="161" t="s">
        <v>76</v>
      </c>
      <c r="F571" s="160" t="s">
        <v>665</v>
      </c>
      <c r="G571" s="160" t="s">
        <v>24</v>
      </c>
      <c r="H571" s="172" t="s">
        <v>1353</v>
      </c>
      <c r="I571" s="162">
        <v>19950</v>
      </c>
      <c r="J571" s="163" t="s">
        <v>35</v>
      </c>
      <c r="K571" s="164" t="s">
        <v>35</v>
      </c>
      <c r="L571" s="194"/>
      <c r="M571" s="177" t="s">
        <v>826</v>
      </c>
      <c r="N571" s="178">
        <v>46078</v>
      </c>
      <c r="O571" s="179"/>
      <c r="P571" s="179"/>
      <c r="Q571" s="180"/>
      <c r="V571" s="9"/>
    </row>
    <row r="572" spans="1:22" s="142" customFormat="1" ht="12" customHeight="1" x14ac:dyDescent="0.2">
      <c r="A572" s="158" t="s">
        <v>1354</v>
      </c>
      <c r="B572" s="159">
        <v>9999</v>
      </c>
      <c r="C572" s="158"/>
      <c r="D572" s="160" t="s">
        <v>1355</v>
      </c>
      <c r="E572" s="161"/>
      <c r="F572" s="160" t="s">
        <v>95</v>
      </c>
      <c r="G572" s="160"/>
      <c r="H572" s="160" t="s">
        <v>1356</v>
      </c>
      <c r="I572" s="162"/>
      <c r="J572" s="163" t="s">
        <v>124</v>
      </c>
      <c r="K572" s="164" t="s">
        <v>124</v>
      </c>
      <c r="L572" s="194"/>
      <c r="M572" s="184" t="s">
        <v>826</v>
      </c>
      <c r="N572" s="167">
        <v>46078</v>
      </c>
      <c r="O572" s="166" t="s">
        <v>1338</v>
      </c>
      <c r="P572" s="166"/>
      <c r="Q572" s="168"/>
      <c r="V572" s="25"/>
    </row>
    <row r="573" spans="1:22" s="142" customFormat="1" ht="12" customHeight="1" x14ac:dyDescent="0.2">
      <c r="A573" s="171">
        <v>583</v>
      </c>
      <c r="B573" s="159">
        <v>9999</v>
      </c>
      <c r="C573" s="171"/>
      <c r="D573" s="172" t="s">
        <v>1357</v>
      </c>
      <c r="E573" s="173" t="s">
        <v>1141</v>
      </c>
      <c r="F573" s="174" t="s">
        <v>161</v>
      </c>
      <c r="G573" s="174" t="s">
        <v>24</v>
      </c>
      <c r="H573" s="172" t="s">
        <v>1358</v>
      </c>
      <c r="I573" s="162">
        <v>78435</v>
      </c>
      <c r="J573" s="182" t="s">
        <v>124</v>
      </c>
      <c r="K573" s="175" t="s">
        <v>124</v>
      </c>
      <c r="L573" s="194"/>
      <c r="M573" s="184" t="s">
        <v>826</v>
      </c>
      <c r="N573" s="178">
        <v>46089</v>
      </c>
      <c r="O573" s="179" t="s">
        <v>1359</v>
      </c>
      <c r="P573" s="179"/>
      <c r="Q573" s="180"/>
      <c r="V573" s="9"/>
    </row>
    <row r="574" spans="1:22" s="142" customFormat="1" ht="12" customHeight="1" x14ac:dyDescent="0.2">
      <c r="A574" s="171">
        <v>584</v>
      </c>
      <c r="B574" s="159">
        <v>9999</v>
      </c>
      <c r="C574" s="171"/>
      <c r="D574" s="172" t="s">
        <v>1360</v>
      </c>
      <c r="E574" s="173" t="s">
        <v>1141</v>
      </c>
      <c r="F574" s="174" t="s">
        <v>161</v>
      </c>
      <c r="G574" s="174" t="s">
        <v>24</v>
      </c>
      <c r="H574" s="172" t="s">
        <v>1358</v>
      </c>
      <c r="I574" s="162"/>
      <c r="J574" s="182" t="s">
        <v>124</v>
      </c>
      <c r="K574" s="175" t="s">
        <v>124</v>
      </c>
      <c r="L574" s="194"/>
      <c r="M574" s="184" t="s">
        <v>826</v>
      </c>
      <c r="N574" s="178">
        <v>46089</v>
      </c>
      <c r="O574" s="179" t="s">
        <v>1359</v>
      </c>
      <c r="P574" s="179"/>
      <c r="Q574" s="180"/>
      <c r="V574" s="9"/>
    </row>
    <row r="575" spans="1:22" s="142" customFormat="1" ht="12" customHeight="1" x14ac:dyDescent="0.2">
      <c r="A575" s="171">
        <v>586</v>
      </c>
      <c r="B575" s="159">
        <v>9999</v>
      </c>
      <c r="C575" s="171"/>
      <c r="D575" s="188" t="s">
        <v>1361</v>
      </c>
      <c r="E575" s="173" t="s">
        <v>1141</v>
      </c>
      <c r="F575" s="174" t="s">
        <v>1362</v>
      </c>
      <c r="G575" s="174" t="s">
        <v>24</v>
      </c>
      <c r="H575" s="172" t="s">
        <v>1363</v>
      </c>
      <c r="I575" s="162">
        <v>40635</v>
      </c>
      <c r="J575" s="182" t="s">
        <v>124</v>
      </c>
      <c r="K575" s="175" t="s">
        <v>124</v>
      </c>
      <c r="L575" s="194"/>
      <c r="M575" s="184" t="s">
        <v>826</v>
      </c>
      <c r="N575" s="178">
        <v>46089</v>
      </c>
      <c r="O575" s="179" t="s">
        <v>1359</v>
      </c>
      <c r="P575" s="179"/>
      <c r="Q575" s="180"/>
      <c r="V575" s="9"/>
    </row>
    <row r="576" spans="1:22" s="142" customFormat="1" ht="12" customHeight="1" x14ac:dyDescent="0.2">
      <c r="A576" s="171">
        <v>610</v>
      </c>
      <c r="B576" s="159">
        <v>9999</v>
      </c>
      <c r="C576" s="171"/>
      <c r="D576" s="188" t="s">
        <v>1364</v>
      </c>
      <c r="E576" s="193" t="s">
        <v>1141</v>
      </c>
      <c r="F576" s="174" t="s">
        <v>239</v>
      </c>
      <c r="G576" s="174" t="s">
        <v>24</v>
      </c>
      <c r="H576" s="172" t="s">
        <v>1365</v>
      </c>
      <c r="I576" s="162">
        <v>5400</v>
      </c>
      <c r="J576" s="163" t="s">
        <v>124</v>
      </c>
      <c r="K576" s="175" t="s">
        <v>124</v>
      </c>
      <c r="L576" s="194"/>
      <c r="M576" s="184" t="s">
        <v>826</v>
      </c>
      <c r="N576" s="178">
        <v>46089</v>
      </c>
      <c r="O576" s="177" t="s">
        <v>1359</v>
      </c>
      <c r="P576" s="177"/>
      <c r="Q576" s="192"/>
      <c r="V576" s="9"/>
    </row>
    <row r="577" spans="1:22" s="142" customFormat="1" ht="12" customHeight="1" x14ac:dyDescent="0.2">
      <c r="A577" s="171">
        <v>614</v>
      </c>
      <c r="B577" s="159">
        <v>9999</v>
      </c>
      <c r="C577" s="171"/>
      <c r="D577" s="172" t="s">
        <v>1366</v>
      </c>
      <c r="E577" s="173" t="s">
        <v>1367</v>
      </c>
      <c r="F577" s="174" t="s">
        <v>1368</v>
      </c>
      <c r="G577" s="174" t="s">
        <v>24</v>
      </c>
      <c r="H577" s="172" t="s">
        <v>1369</v>
      </c>
      <c r="I577" s="162">
        <v>13350</v>
      </c>
      <c r="J577" s="163" t="s">
        <v>124</v>
      </c>
      <c r="K577" s="164" t="s">
        <v>124</v>
      </c>
      <c r="L577" s="194"/>
      <c r="M577" s="184" t="s">
        <v>826</v>
      </c>
      <c r="N577" s="178">
        <v>46089</v>
      </c>
      <c r="O577" s="179" t="s">
        <v>1359</v>
      </c>
      <c r="P577" s="179"/>
      <c r="Q577" s="180"/>
      <c r="V577" s="9"/>
    </row>
    <row r="578" spans="1:22" s="142" customFormat="1" ht="12" customHeight="1" x14ac:dyDescent="0.2">
      <c r="A578" s="171">
        <v>625</v>
      </c>
      <c r="B578" s="159">
        <v>9999</v>
      </c>
      <c r="C578" s="171"/>
      <c r="D578" s="188" t="s">
        <v>1370</v>
      </c>
      <c r="E578" s="193" t="s">
        <v>1141</v>
      </c>
      <c r="F578" s="174" t="s">
        <v>161</v>
      </c>
      <c r="G578" s="174" t="s">
        <v>24</v>
      </c>
      <c r="H578" s="172" t="s">
        <v>1371</v>
      </c>
      <c r="I578" s="162">
        <v>5400</v>
      </c>
      <c r="J578" s="163" t="s">
        <v>124</v>
      </c>
      <c r="K578" s="175" t="s">
        <v>124</v>
      </c>
      <c r="L578" s="194"/>
      <c r="M578" s="184" t="s">
        <v>826</v>
      </c>
      <c r="N578" s="178">
        <v>46089</v>
      </c>
      <c r="O578" s="177" t="s">
        <v>1359</v>
      </c>
      <c r="P578" s="177"/>
      <c r="Q578" s="192"/>
      <c r="V578" s="9"/>
    </row>
    <row r="579" spans="1:22" s="142" customFormat="1" ht="12" customHeight="1" x14ac:dyDescent="0.2">
      <c r="A579" s="171">
        <v>545</v>
      </c>
      <c r="B579" s="159">
        <v>9999</v>
      </c>
      <c r="C579" s="171"/>
      <c r="D579" s="172" t="s">
        <v>1372</v>
      </c>
      <c r="E579" s="173" t="s">
        <v>76</v>
      </c>
      <c r="F579" s="174" t="s">
        <v>1373</v>
      </c>
      <c r="G579" s="174" t="s">
        <v>350</v>
      </c>
      <c r="H579" s="172" t="s">
        <v>1374</v>
      </c>
      <c r="I579" s="162">
        <f>28350+40000</f>
        <v>68350</v>
      </c>
      <c r="J579" s="182" t="s">
        <v>124</v>
      </c>
      <c r="K579" s="175" t="s">
        <v>1375</v>
      </c>
      <c r="L579" s="183"/>
      <c r="M579" s="184" t="s">
        <v>826</v>
      </c>
      <c r="N579" s="178">
        <v>46099</v>
      </c>
      <c r="O579" s="179" t="s">
        <v>1376</v>
      </c>
      <c r="P579" s="179"/>
      <c r="Q579" s="180"/>
      <c r="V579" s="9"/>
    </row>
    <row r="580" spans="1:22" s="142" customFormat="1" ht="12" customHeight="1" x14ac:dyDescent="0.2">
      <c r="A580" s="171">
        <v>585</v>
      </c>
      <c r="B580" s="159">
        <v>9999</v>
      </c>
      <c r="C580" s="171"/>
      <c r="D580" s="172" t="s">
        <v>1377</v>
      </c>
      <c r="E580" s="173" t="s">
        <v>1141</v>
      </c>
      <c r="F580" s="174" t="s">
        <v>161</v>
      </c>
      <c r="G580" s="174" t="s">
        <v>24</v>
      </c>
      <c r="H580" s="172" t="s">
        <v>1378</v>
      </c>
      <c r="I580" s="162">
        <v>40635</v>
      </c>
      <c r="J580" s="182" t="s">
        <v>124</v>
      </c>
      <c r="K580" s="175" t="s">
        <v>124</v>
      </c>
      <c r="L580" s="194"/>
      <c r="M580" s="184" t="s">
        <v>826</v>
      </c>
      <c r="N580" s="178">
        <v>46106</v>
      </c>
      <c r="O580" s="177" t="s">
        <v>1379</v>
      </c>
      <c r="P580" s="177"/>
      <c r="Q580" s="192"/>
      <c r="V580" s="9"/>
    </row>
    <row r="581" spans="1:22" s="142" customFormat="1" ht="12" customHeight="1" x14ac:dyDescent="0.2">
      <c r="A581" s="171">
        <v>611</v>
      </c>
      <c r="B581" s="159">
        <v>9999</v>
      </c>
      <c r="C581" s="171"/>
      <c r="D581" s="172" t="s">
        <v>1380</v>
      </c>
      <c r="E581" s="193" t="s">
        <v>1141</v>
      </c>
      <c r="F581" s="174" t="s">
        <v>239</v>
      </c>
      <c r="G581" s="174" t="s">
        <v>24</v>
      </c>
      <c r="H581" s="172" t="s">
        <v>1381</v>
      </c>
      <c r="I581" s="162"/>
      <c r="J581" s="182" t="s">
        <v>124</v>
      </c>
      <c r="K581" s="175" t="s">
        <v>124</v>
      </c>
      <c r="L581" s="194"/>
      <c r="M581" s="184" t="s">
        <v>826</v>
      </c>
      <c r="N581" s="178">
        <v>46106</v>
      </c>
      <c r="O581" s="179" t="s">
        <v>1379</v>
      </c>
      <c r="P581" s="179"/>
      <c r="Q581" s="180"/>
      <c r="V581" s="9"/>
    </row>
    <row r="582" spans="1:22" s="142" customFormat="1" ht="12" customHeight="1" x14ac:dyDescent="0.2">
      <c r="A582" s="171">
        <v>612</v>
      </c>
      <c r="B582" s="159">
        <v>9999</v>
      </c>
      <c r="C582" s="171"/>
      <c r="D582" s="172" t="s">
        <v>1382</v>
      </c>
      <c r="E582" s="173"/>
      <c r="F582" s="174" t="s">
        <v>161</v>
      </c>
      <c r="G582" s="174" t="s">
        <v>181</v>
      </c>
      <c r="H582" s="172" t="s">
        <v>1383</v>
      </c>
      <c r="I582" s="162"/>
      <c r="J582" s="182" t="s">
        <v>124</v>
      </c>
      <c r="K582" s="164" t="s">
        <v>124</v>
      </c>
      <c r="L582" s="194"/>
      <c r="M582" s="184" t="s">
        <v>826</v>
      </c>
      <c r="N582" s="178">
        <v>46106</v>
      </c>
      <c r="O582" s="177" t="s">
        <v>1379</v>
      </c>
      <c r="P582" s="195"/>
      <c r="Q582" s="196"/>
      <c r="V582" s="9"/>
    </row>
    <row r="583" spans="1:22" s="142" customFormat="1" ht="12" customHeight="1" x14ac:dyDescent="0.2">
      <c r="A583" s="171">
        <v>624</v>
      </c>
      <c r="B583" s="159">
        <v>9999</v>
      </c>
      <c r="C583" s="171"/>
      <c r="D583" s="172" t="s">
        <v>1384</v>
      </c>
      <c r="E583" s="193" t="s">
        <v>1141</v>
      </c>
      <c r="F583" s="174" t="s">
        <v>161</v>
      </c>
      <c r="G583" s="174" t="s">
        <v>24</v>
      </c>
      <c r="H583" s="172" t="s">
        <v>1385</v>
      </c>
      <c r="I583" s="162"/>
      <c r="J583" s="182" t="s">
        <v>124</v>
      </c>
      <c r="K583" s="175" t="s">
        <v>124</v>
      </c>
      <c r="L583" s="194"/>
      <c r="M583" s="184" t="s">
        <v>826</v>
      </c>
      <c r="N583" s="178">
        <v>46106</v>
      </c>
      <c r="O583" s="179" t="s">
        <v>1379</v>
      </c>
      <c r="P583" s="179"/>
      <c r="Q583" s="180"/>
      <c r="V583" s="9"/>
    </row>
    <row r="584" spans="1:22" s="142" customFormat="1" ht="12" customHeight="1" x14ac:dyDescent="0.2">
      <c r="A584" s="171">
        <v>562</v>
      </c>
      <c r="B584" s="159">
        <v>9999</v>
      </c>
      <c r="C584" s="171" t="s">
        <v>1386</v>
      </c>
      <c r="D584" s="172" t="s">
        <v>1387</v>
      </c>
      <c r="E584" s="173"/>
      <c r="F584" s="174" t="s">
        <v>77</v>
      </c>
      <c r="G584" s="174"/>
      <c r="H584" s="172" t="s">
        <v>1388</v>
      </c>
      <c r="I584" s="162">
        <v>11400</v>
      </c>
      <c r="J584" s="163" t="s">
        <v>1389</v>
      </c>
      <c r="K584" s="175" t="s">
        <v>124</v>
      </c>
      <c r="L584" s="194"/>
      <c r="M584" s="177" t="s">
        <v>826</v>
      </c>
      <c r="N584" s="185">
        <v>46124</v>
      </c>
      <c r="O584" s="177" t="s">
        <v>1390</v>
      </c>
      <c r="P584" s="179"/>
      <c r="Q584" s="180"/>
      <c r="V584" s="9"/>
    </row>
    <row r="585" spans="1:22" s="142" customFormat="1" ht="12" customHeight="1" x14ac:dyDescent="0.2">
      <c r="A585" s="171">
        <v>157</v>
      </c>
      <c r="B585" s="159">
        <v>9999</v>
      </c>
      <c r="C585" s="171"/>
      <c r="D585" s="172" t="s">
        <v>1391</v>
      </c>
      <c r="E585" s="173" t="s">
        <v>598</v>
      </c>
      <c r="F585" s="174" t="s">
        <v>32</v>
      </c>
      <c r="G585" s="174" t="s">
        <v>24</v>
      </c>
      <c r="H585" s="172" t="s">
        <v>1392</v>
      </c>
      <c r="I585" s="162">
        <v>48735</v>
      </c>
      <c r="J585" s="182" t="s">
        <v>124</v>
      </c>
      <c r="K585" s="175" t="s">
        <v>124</v>
      </c>
      <c r="L585" s="194"/>
      <c r="M585" s="177" t="s">
        <v>826</v>
      </c>
      <c r="N585" s="185">
        <v>46124</v>
      </c>
      <c r="O585" s="177" t="s">
        <v>1390</v>
      </c>
      <c r="P585" s="179"/>
      <c r="Q585" s="180"/>
      <c r="V585" s="9"/>
    </row>
    <row r="586" spans="1:22" s="142" customFormat="1" ht="12" customHeight="1" x14ac:dyDescent="0.2">
      <c r="A586" s="171">
        <v>211</v>
      </c>
      <c r="B586" s="159">
        <v>9999</v>
      </c>
      <c r="C586" s="171"/>
      <c r="D586" s="172" t="s">
        <v>1393</v>
      </c>
      <c r="E586" s="173"/>
      <c r="F586" s="197" t="s">
        <v>1394</v>
      </c>
      <c r="G586" s="174" t="s">
        <v>24</v>
      </c>
      <c r="H586" s="172" t="s">
        <v>1395</v>
      </c>
      <c r="I586" s="162">
        <f>113880.9+327285</f>
        <v>441165.9</v>
      </c>
      <c r="J586" s="182" t="s">
        <v>124</v>
      </c>
      <c r="K586" s="175" t="s">
        <v>124</v>
      </c>
      <c r="L586" s="194"/>
      <c r="M586" s="177" t="s">
        <v>826</v>
      </c>
      <c r="N586" s="185">
        <v>46124</v>
      </c>
      <c r="O586" s="177" t="s">
        <v>1390</v>
      </c>
      <c r="P586" s="179"/>
      <c r="Q586" s="180"/>
      <c r="V586" s="9"/>
    </row>
    <row r="587" spans="1:22" s="142" customFormat="1" ht="12" customHeight="1" x14ac:dyDescent="0.2">
      <c r="A587" s="171">
        <v>374</v>
      </c>
      <c r="B587" s="159">
        <v>9999</v>
      </c>
      <c r="C587" s="171"/>
      <c r="D587" s="172" t="s">
        <v>1396</v>
      </c>
      <c r="E587" s="173"/>
      <c r="F587" s="197" t="s">
        <v>1397</v>
      </c>
      <c r="G587" s="174" t="s">
        <v>33</v>
      </c>
      <c r="H587" s="172" t="s">
        <v>1398</v>
      </c>
      <c r="I587" s="162">
        <f>50250+348750+22000+70104</f>
        <v>491104</v>
      </c>
      <c r="J587" s="182" t="s">
        <v>124</v>
      </c>
      <c r="K587" s="175" t="s">
        <v>124</v>
      </c>
      <c r="L587" s="194"/>
      <c r="M587" s="177" t="s">
        <v>826</v>
      </c>
      <c r="N587" s="185">
        <v>46124</v>
      </c>
      <c r="O587" s="177" t="s">
        <v>1390</v>
      </c>
      <c r="P587" s="179"/>
      <c r="Q587" s="180"/>
      <c r="V587" s="9"/>
    </row>
    <row r="588" spans="1:22" s="142" customFormat="1" ht="12" customHeight="1" x14ac:dyDescent="0.2">
      <c r="A588" s="171">
        <v>388</v>
      </c>
      <c r="B588" s="159">
        <v>9999</v>
      </c>
      <c r="C588" s="171"/>
      <c r="D588" s="172" t="s">
        <v>1399</v>
      </c>
      <c r="E588" s="189" t="s">
        <v>209</v>
      </c>
      <c r="F588" s="174" t="s">
        <v>148</v>
      </c>
      <c r="G588" s="174"/>
      <c r="H588" s="172" t="s">
        <v>1400</v>
      </c>
      <c r="I588" s="162">
        <v>145245</v>
      </c>
      <c r="J588" s="182" t="s">
        <v>124</v>
      </c>
      <c r="K588" s="164">
        <v>46105</v>
      </c>
      <c r="L588" s="194"/>
      <c r="M588" s="177" t="s">
        <v>826</v>
      </c>
      <c r="N588" s="185">
        <v>46124</v>
      </c>
      <c r="O588" s="177" t="s">
        <v>1390</v>
      </c>
      <c r="P588" s="179"/>
      <c r="Q588" s="180"/>
      <c r="V588" s="9"/>
    </row>
    <row r="589" spans="1:22" s="142" customFormat="1" ht="12" customHeight="1" x14ac:dyDescent="0.2">
      <c r="A589" s="171">
        <v>402</v>
      </c>
      <c r="B589" s="159">
        <v>9999</v>
      </c>
      <c r="C589" s="171"/>
      <c r="D589" s="172" t="s">
        <v>1401</v>
      </c>
      <c r="E589" s="173" t="s">
        <v>1402</v>
      </c>
      <c r="F589" s="174" t="s">
        <v>707</v>
      </c>
      <c r="G589" s="198" t="s">
        <v>24</v>
      </c>
      <c r="H589" s="172" t="s">
        <v>1403</v>
      </c>
      <c r="I589" s="162">
        <f>37395+55650</f>
        <v>93045</v>
      </c>
      <c r="J589" s="182" t="s">
        <v>124</v>
      </c>
      <c r="K589" s="175" t="s">
        <v>124</v>
      </c>
      <c r="L589" s="194"/>
      <c r="M589" s="177" t="s">
        <v>826</v>
      </c>
      <c r="N589" s="185">
        <v>46124</v>
      </c>
      <c r="O589" s="177" t="s">
        <v>1390</v>
      </c>
      <c r="P589" s="179"/>
      <c r="Q589" s="180"/>
      <c r="V589" s="9"/>
    </row>
    <row r="590" spans="1:22" s="142" customFormat="1" ht="12" customHeight="1" x14ac:dyDescent="0.2">
      <c r="A590" s="158">
        <v>451</v>
      </c>
      <c r="B590" s="159">
        <v>9999</v>
      </c>
      <c r="C590" s="158"/>
      <c r="D590" s="199" t="s">
        <v>1404</v>
      </c>
      <c r="E590" s="161" t="s">
        <v>1167</v>
      </c>
      <c r="F590" s="160" t="s">
        <v>1405</v>
      </c>
      <c r="G590" s="160"/>
      <c r="H590" s="160" t="s">
        <v>1406</v>
      </c>
      <c r="I590" s="162"/>
      <c r="J590" s="163" t="s">
        <v>124</v>
      </c>
      <c r="K590" s="164" t="s">
        <v>124</v>
      </c>
      <c r="L590" s="194"/>
      <c r="M590" s="177" t="s">
        <v>826</v>
      </c>
      <c r="N590" s="185">
        <v>46124</v>
      </c>
      <c r="O590" s="177" t="s">
        <v>1390</v>
      </c>
      <c r="P590" s="166"/>
      <c r="Q590" s="168"/>
      <c r="V590" s="9"/>
    </row>
    <row r="591" spans="1:22" s="142" customFormat="1" ht="12" customHeight="1" x14ac:dyDescent="0.2">
      <c r="A591" s="171">
        <v>532</v>
      </c>
      <c r="B591" s="159">
        <v>9999</v>
      </c>
      <c r="C591" s="171"/>
      <c r="D591" s="172" t="s">
        <v>1407</v>
      </c>
      <c r="E591" s="173"/>
      <c r="F591" s="197" t="s">
        <v>1408</v>
      </c>
      <c r="G591" s="174" t="s">
        <v>1257</v>
      </c>
      <c r="H591" s="172" t="s">
        <v>1409</v>
      </c>
      <c r="I591" s="162"/>
      <c r="J591" s="182" t="s">
        <v>124</v>
      </c>
      <c r="K591" s="164">
        <v>46100</v>
      </c>
      <c r="L591" s="194"/>
      <c r="M591" s="177" t="s">
        <v>826</v>
      </c>
      <c r="N591" s="185">
        <v>46124</v>
      </c>
      <c r="O591" s="177" t="s">
        <v>1390</v>
      </c>
      <c r="P591" s="177"/>
      <c r="Q591" s="192"/>
      <c r="V591" s="9"/>
    </row>
    <row r="592" spans="1:22" s="142" customFormat="1" ht="12" customHeight="1" x14ac:dyDescent="0.2">
      <c r="A592" s="171">
        <v>563</v>
      </c>
      <c r="B592" s="159">
        <v>9999</v>
      </c>
      <c r="C592" s="171"/>
      <c r="D592" s="172" t="s">
        <v>1410</v>
      </c>
      <c r="E592" s="173" t="s">
        <v>1402</v>
      </c>
      <c r="F592" s="174" t="s">
        <v>239</v>
      </c>
      <c r="G592" s="198" t="s">
        <v>24</v>
      </c>
      <c r="H592" s="172" t="s">
        <v>1411</v>
      </c>
      <c r="I592" s="162">
        <v>32535</v>
      </c>
      <c r="J592" s="182" t="s">
        <v>124</v>
      </c>
      <c r="K592" s="175" t="s">
        <v>124</v>
      </c>
      <c r="L592" s="194"/>
      <c r="M592" s="177" t="s">
        <v>826</v>
      </c>
      <c r="N592" s="185">
        <v>46124</v>
      </c>
      <c r="O592" s="177" t="s">
        <v>1390</v>
      </c>
      <c r="P592" s="179"/>
      <c r="Q592" s="180"/>
      <c r="V592" s="9"/>
    </row>
    <row r="593" spans="1:22" s="142" customFormat="1" ht="12" customHeight="1" x14ac:dyDescent="0.2">
      <c r="A593" s="171">
        <v>579</v>
      </c>
      <c r="B593" s="159">
        <v>9999</v>
      </c>
      <c r="C593" s="171"/>
      <c r="D593" s="172" t="s">
        <v>1412</v>
      </c>
      <c r="E593" s="173" t="s">
        <v>1247</v>
      </c>
      <c r="F593" s="174" t="s">
        <v>1200</v>
      </c>
      <c r="G593" s="174" t="s">
        <v>24</v>
      </c>
      <c r="H593" s="172" t="s">
        <v>1413</v>
      </c>
      <c r="I593" s="162">
        <v>49200</v>
      </c>
      <c r="J593" s="182" t="s">
        <v>124</v>
      </c>
      <c r="K593" s="175" t="s">
        <v>124</v>
      </c>
      <c r="L593" s="194"/>
      <c r="M593" s="177" t="s">
        <v>826</v>
      </c>
      <c r="N593" s="185">
        <v>46124</v>
      </c>
      <c r="O593" s="177" t="s">
        <v>1390</v>
      </c>
      <c r="P593" s="179"/>
      <c r="Q593" s="180"/>
      <c r="V593" s="9"/>
    </row>
    <row r="594" spans="1:22" s="142" customFormat="1" ht="12" customHeight="1" x14ac:dyDescent="0.2">
      <c r="A594" s="171">
        <v>582</v>
      </c>
      <c r="B594" s="159">
        <v>9999</v>
      </c>
      <c r="C594" s="171"/>
      <c r="D594" s="172" t="s">
        <v>1414</v>
      </c>
      <c r="E594" s="173"/>
      <c r="F594" s="174" t="s">
        <v>66</v>
      </c>
      <c r="G594" s="174" t="s">
        <v>24</v>
      </c>
      <c r="H594" s="172" t="s">
        <v>1415</v>
      </c>
      <c r="I594" s="162">
        <v>58800</v>
      </c>
      <c r="J594" s="182" t="s">
        <v>124</v>
      </c>
      <c r="K594" s="175" t="s">
        <v>124</v>
      </c>
      <c r="L594" s="194"/>
      <c r="M594" s="177" t="s">
        <v>826</v>
      </c>
      <c r="N594" s="185">
        <v>46124</v>
      </c>
      <c r="O594" s="177" t="s">
        <v>1390</v>
      </c>
      <c r="P594" s="179"/>
      <c r="Q594" s="180"/>
      <c r="V594" s="9"/>
    </row>
    <row r="595" spans="1:22" s="142" customFormat="1" ht="12" customHeight="1" x14ac:dyDescent="0.2">
      <c r="A595" s="171">
        <v>628</v>
      </c>
      <c r="B595" s="159">
        <v>9999</v>
      </c>
      <c r="C595" s="171"/>
      <c r="D595" s="188" t="s">
        <v>1416</v>
      </c>
      <c r="E595" s="173"/>
      <c r="F595" s="174" t="s">
        <v>371</v>
      </c>
      <c r="G595" s="174" t="s">
        <v>181</v>
      </c>
      <c r="H595" s="172" t="s">
        <v>1417</v>
      </c>
      <c r="I595" s="162"/>
      <c r="J595" s="163" t="s">
        <v>124</v>
      </c>
      <c r="K595" s="164" t="s">
        <v>124</v>
      </c>
      <c r="L595" s="194"/>
      <c r="M595" s="177" t="s">
        <v>826</v>
      </c>
      <c r="N595" s="185">
        <v>46124</v>
      </c>
      <c r="O595" s="177" t="s">
        <v>1390</v>
      </c>
      <c r="P595" s="179"/>
      <c r="Q595" s="180"/>
      <c r="V595" s="9"/>
    </row>
    <row r="596" spans="1:22" s="157" customFormat="1" ht="12" customHeight="1" x14ac:dyDescent="0.2">
      <c r="A596" s="171">
        <v>632</v>
      </c>
      <c r="B596" s="159">
        <v>9999</v>
      </c>
      <c r="C596" s="171"/>
      <c r="D596" s="172" t="s">
        <v>1418</v>
      </c>
      <c r="E596" s="173"/>
      <c r="F596" s="174" t="s">
        <v>239</v>
      </c>
      <c r="G596" s="174" t="s">
        <v>181</v>
      </c>
      <c r="H596" s="172" t="s">
        <v>1419</v>
      </c>
      <c r="I596" s="162"/>
      <c r="J596" s="163" t="s">
        <v>124</v>
      </c>
      <c r="K596" s="175" t="s">
        <v>124</v>
      </c>
      <c r="L596" s="194"/>
      <c r="M596" s="177" t="s">
        <v>826</v>
      </c>
      <c r="N596" s="185">
        <v>46124</v>
      </c>
      <c r="O596" s="177" t="s">
        <v>1390</v>
      </c>
      <c r="P596" s="179"/>
      <c r="Q596" s="180"/>
      <c r="R596" s="142"/>
      <c r="S596" s="142"/>
      <c r="T596" s="142"/>
      <c r="U596" s="142"/>
      <c r="V596" s="9"/>
    </row>
    <row r="597" spans="1:22" s="142" customFormat="1" ht="12" customHeight="1" x14ac:dyDescent="0.2">
      <c r="A597" s="171">
        <v>644</v>
      </c>
      <c r="B597" s="159">
        <v>9999</v>
      </c>
      <c r="C597" s="171"/>
      <c r="D597" s="172" t="s">
        <v>1420</v>
      </c>
      <c r="E597" s="173"/>
      <c r="F597" s="197" t="s">
        <v>665</v>
      </c>
      <c r="G597" s="174" t="s">
        <v>24</v>
      </c>
      <c r="H597" s="172" t="s">
        <v>1421</v>
      </c>
      <c r="I597" s="162"/>
      <c r="J597" s="163" t="s">
        <v>124</v>
      </c>
      <c r="K597" s="164">
        <v>46105</v>
      </c>
      <c r="L597" s="194"/>
      <c r="M597" s="177" t="s">
        <v>826</v>
      </c>
      <c r="N597" s="185">
        <v>46124</v>
      </c>
      <c r="O597" s="177" t="s">
        <v>1390</v>
      </c>
      <c r="P597" s="179"/>
      <c r="Q597" s="180"/>
      <c r="V597" s="9"/>
    </row>
    <row r="598" spans="1:22" s="142" customFormat="1" ht="12" customHeight="1" x14ac:dyDescent="0.2">
      <c r="A598" s="171">
        <v>626</v>
      </c>
      <c r="B598" s="159">
        <v>9999</v>
      </c>
      <c r="C598" s="171"/>
      <c r="D598" s="172" t="s">
        <v>1422</v>
      </c>
      <c r="E598" s="173" t="s">
        <v>1402</v>
      </c>
      <c r="F598" s="174" t="s">
        <v>161</v>
      </c>
      <c r="G598" s="174" t="s">
        <v>24</v>
      </c>
      <c r="H598" s="188" t="s">
        <v>1423</v>
      </c>
      <c r="I598" s="162">
        <v>8235</v>
      </c>
      <c r="J598" s="182" t="s">
        <v>124</v>
      </c>
      <c r="K598" s="200">
        <v>46112</v>
      </c>
      <c r="L598" s="176"/>
      <c r="M598" s="184" t="s">
        <v>826</v>
      </c>
      <c r="N598" s="178">
        <v>46141</v>
      </c>
      <c r="O598" s="177" t="s">
        <v>1424</v>
      </c>
      <c r="P598" s="195"/>
      <c r="Q598" s="196"/>
      <c r="V598" s="9"/>
    </row>
    <row r="599" spans="1:22" s="142" customFormat="1" ht="12" customHeight="1" x14ac:dyDescent="0.2">
      <c r="A599" s="171">
        <v>652</v>
      </c>
      <c r="B599" s="159">
        <v>9999</v>
      </c>
      <c r="C599" s="171"/>
      <c r="D599" s="172" t="s">
        <v>1425</v>
      </c>
      <c r="E599" s="173"/>
      <c r="F599" s="174" t="s">
        <v>519</v>
      </c>
      <c r="G599" s="174" t="s">
        <v>24</v>
      </c>
      <c r="H599" s="172" t="s">
        <v>1426</v>
      </c>
      <c r="I599" s="162"/>
      <c r="J599" s="163" t="s">
        <v>35</v>
      </c>
      <c r="K599" s="164">
        <v>46133</v>
      </c>
      <c r="L599" s="176"/>
      <c r="M599" s="184" t="s">
        <v>826</v>
      </c>
      <c r="N599" s="178">
        <v>46141</v>
      </c>
      <c r="O599" s="179" t="s">
        <v>1424</v>
      </c>
      <c r="P599" s="179" t="s">
        <v>246</v>
      </c>
      <c r="Q599" s="180">
        <v>46111</v>
      </c>
      <c r="V599" s="9"/>
    </row>
    <row r="600" spans="1:22" s="142" customFormat="1" ht="12" customHeight="1" x14ac:dyDescent="0.2">
      <c r="A600" s="171">
        <v>633</v>
      </c>
      <c r="B600" s="159">
        <v>9999</v>
      </c>
      <c r="C600" s="171"/>
      <c r="D600" s="172" t="s">
        <v>1427</v>
      </c>
      <c r="E600" s="173"/>
      <c r="F600" s="174" t="s">
        <v>161</v>
      </c>
      <c r="G600" s="174" t="s">
        <v>24</v>
      </c>
      <c r="H600" s="172" t="s">
        <v>1428</v>
      </c>
      <c r="I600" s="162">
        <v>50000</v>
      </c>
      <c r="J600" s="163" t="s">
        <v>35</v>
      </c>
      <c r="K600" s="164" t="s">
        <v>35</v>
      </c>
      <c r="L600" s="176">
        <f>I600/150</f>
        <v>333.33333333333331</v>
      </c>
      <c r="M600" s="184" t="s">
        <v>826</v>
      </c>
      <c r="N600" s="178">
        <v>46142</v>
      </c>
      <c r="O600" s="179" t="s">
        <v>1429</v>
      </c>
      <c r="P600" s="179"/>
      <c r="Q600" s="180"/>
      <c r="V600" s="9"/>
    </row>
    <row r="601" spans="1:22" s="142" customFormat="1" ht="12" customHeight="1" x14ac:dyDescent="0.2">
      <c r="A601" s="171">
        <v>91</v>
      </c>
      <c r="B601" s="159">
        <v>9999</v>
      </c>
      <c r="C601" s="171"/>
      <c r="D601" s="172" t="s">
        <v>1430</v>
      </c>
      <c r="E601" s="173" t="s">
        <v>1431</v>
      </c>
      <c r="F601" s="174" t="s">
        <v>1432</v>
      </c>
      <c r="G601" s="174" t="s">
        <v>251</v>
      </c>
      <c r="H601" s="172" t="s">
        <v>1433</v>
      </c>
      <c r="I601" s="162">
        <v>19500</v>
      </c>
      <c r="J601" s="182" t="s">
        <v>124</v>
      </c>
      <c r="K601" s="200">
        <v>46129</v>
      </c>
      <c r="L601" s="176">
        <f>I601/150</f>
        <v>130</v>
      </c>
      <c r="M601" s="184" t="s">
        <v>826</v>
      </c>
      <c r="N601" s="185">
        <v>46159</v>
      </c>
      <c r="O601" s="201" t="s">
        <v>1434</v>
      </c>
      <c r="P601" s="179"/>
      <c r="Q601" s="180"/>
      <c r="V601" s="9"/>
    </row>
    <row r="602" spans="1:22" s="142" customFormat="1" ht="12" customHeight="1" x14ac:dyDescent="0.2">
      <c r="A602" s="171">
        <v>302</v>
      </c>
      <c r="B602" s="159">
        <v>9999</v>
      </c>
      <c r="C602" s="171"/>
      <c r="D602" s="172" t="s">
        <v>1435</v>
      </c>
      <c r="E602" s="189" t="s">
        <v>1436</v>
      </c>
      <c r="F602" s="174" t="s">
        <v>205</v>
      </c>
      <c r="G602" s="202" t="s">
        <v>48</v>
      </c>
      <c r="H602" s="172" t="s">
        <v>1437</v>
      </c>
      <c r="I602" s="162">
        <v>36750</v>
      </c>
      <c r="J602" s="163" t="s">
        <v>124</v>
      </c>
      <c r="K602" s="200">
        <v>46126</v>
      </c>
      <c r="L602" s="176">
        <f>I602/150</f>
        <v>245</v>
      </c>
      <c r="M602" s="184" t="s">
        <v>826</v>
      </c>
      <c r="N602" s="185">
        <v>46159</v>
      </c>
      <c r="O602" s="179" t="s">
        <v>1434</v>
      </c>
      <c r="P602" s="179"/>
      <c r="Q602" s="180"/>
      <c r="V602" s="9"/>
    </row>
    <row r="603" spans="1:22" s="142" customFormat="1" ht="12" customHeight="1" x14ac:dyDescent="0.2">
      <c r="A603" s="171">
        <v>347</v>
      </c>
      <c r="B603" s="159">
        <v>9999</v>
      </c>
      <c r="C603" s="171"/>
      <c r="D603" s="172" t="s">
        <v>1438</v>
      </c>
      <c r="E603" s="173"/>
      <c r="F603" s="174" t="s">
        <v>1439</v>
      </c>
      <c r="G603" s="174" t="s">
        <v>24</v>
      </c>
      <c r="H603" s="172" t="s">
        <v>1440</v>
      </c>
      <c r="I603" s="162">
        <f>5000+26250</f>
        <v>31250</v>
      </c>
      <c r="J603" s="203" t="s">
        <v>1441</v>
      </c>
      <c r="K603" s="200">
        <v>46111</v>
      </c>
      <c r="L603" s="176">
        <f>I603/150</f>
        <v>208.33333333333334</v>
      </c>
      <c r="M603" s="184" t="s">
        <v>826</v>
      </c>
      <c r="N603" s="185">
        <v>46159</v>
      </c>
      <c r="O603" s="190" t="s">
        <v>1434</v>
      </c>
      <c r="P603" s="195"/>
      <c r="Q603" s="196"/>
      <c r="V603" s="9"/>
    </row>
    <row r="604" spans="1:22" s="142" customFormat="1" ht="12" customHeight="1" x14ac:dyDescent="0.2">
      <c r="A604" s="171">
        <v>436</v>
      </c>
      <c r="B604" s="159">
        <v>9999</v>
      </c>
      <c r="C604" s="171"/>
      <c r="D604" s="172" t="s">
        <v>1442</v>
      </c>
      <c r="E604" s="173" t="s">
        <v>1443</v>
      </c>
      <c r="F604" s="174" t="s">
        <v>161</v>
      </c>
      <c r="G604" s="174" t="s">
        <v>24</v>
      </c>
      <c r="H604" s="172" t="s">
        <v>1442</v>
      </c>
      <c r="I604" s="162">
        <v>5400</v>
      </c>
      <c r="J604" s="163" t="s">
        <v>124</v>
      </c>
      <c r="K604" s="164">
        <v>46132</v>
      </c>
      <c r="L604" s="176">
        <f>I604/150</f>
        <v>36</v>
      </c>
      <c r="M604" s="184" t="s">
        <v>826</v>
      </c>
      <c r="N604" s="178">
        <v>46159</v>
      </c>
      <c r="O604" s="179" t="s">
        <v>1434</v>
      </c>
      <c r="P604" s="179"/>
      <c r="Q604" s="180"/>
      <c r="V604" s="9"/>
    </row>
    <row r="605" spans="1:22" s="142" customFormat="1" ht="12" customHeight="1" x14ac:dyDescent="0.2">
      <c r="A605" s="171">
        <v>437</v>
      </c>
      <c r="B605" s="159">
        <v>9999</v>
      </c>
      <c r="C605" s="171"/>
      <c r="D605" s="172" t="s">
        <v>1444</v>
      </c>
      <c r="E605" s="173" t="s">
        <v>598</v>
      </c>
      <c r="F605" s="174" t="s">
        <v>161</v>
      </c>
      <c r="G605" s="174" t="s">
        <v>24</v>
      </c>
      <c r="H605" s="172" t="s">
        <v>1444</v>
      </c>
      <c r="I605" s="162">
        <v>3240</v>
      </c>
      <c r="J605" s="163" t="s">
        <v>124</v>
      </c>
      <c r="K605" s="164">
        <v>46132</v>
      </c>
      <c r="L605" s="176">
        <f>I605/150</f>
        <v>21.6</v>
      </c>
      <c r="M605" s="204" t="s">
        <v>826</v>
      </c>
      <c r="N605" s="178">
        <v>46159</v>
      </c>
      <c r="O605" s="205" t="s">
        <v>1434</v>
      </c>
      <c r="P605" s="179"/>
      <c r="Q605" s="180"/>
      <c r="V605" s="9"/>
    </row>
    <row r="606" spans="1:22" s="142" customFormat="1" ht="12" customHeight="1" x14ac:dyDescent="0.2">
      <c r="A606" s="171">
        <v>608</v>
      </c>
      <c r="B606" s="159">
        <v>9999</v>
      </c>
      <c r="C606" s="171"/>
      <c r="D606" s="172" t="s">
        <v>1445</v>
      </c>
      <c r="E606" s="173" t="s">
        <v>1446</v>
      </c>
      <c r="F606" s="174" t="s">
        <v>1447</v>
      </c>
      <c r="G606" s="174" t="s">
        <v>24</v>
      </c>
      <c r="H606" s="172" t="s">
        <v>1448</v>
      </c>
      <c r="I606" s="162">
        <v>25400</v>
      </c>
      <c r="J606" s="163" t="s">
        <v>1449</v>
      </c>
      <c r="K606" s="200">
        <v>46107</v>
      </c>
      <c r="L606" s="176">
        <f>I606/150</f>
        <v>169.33333333333334</v>
      </c>
      <c r="M606" s="204" t="s">
        <v>826</v>
      </c>
      <c r="N606" s="185">
        <v>46159</v>
      </c>
      <c r="O606" s="206" t="s">
        <v>1434</v>
      </c>
      <c r="P606" s="195"/>
      <c r="Q606" s="196"/>
      <c r="V606" s="9"/>
    </row>
    <row r="607" spans="1:22" s="142" customFormat="1" ht="12" customHeight="1" x14ac:dyDescent="0.2">
      <c r="A607" s="171">
        <v>635</v>
      </c>
      <c r="B607" s="159">
        <v>9999</v>
      </c>
      <c r="C607" s="171"/>
      <c r="D607" s="207" t="s">
        <v>1450</v>
      </c>
      <c r="E607" s="193" t="s">
        <v>1141</v>
      </c>
      <c r="F607" s="174" t="s">
        <v>1451</v>
      </c>
      <c r="G607" s="174" t="s">
        <v>24</v>
      </c>
      <c r="H607" s="172" t="s">
        <v>1452</v>
      </c>
      <c r="I607" s="162">
        <f>5400+26250</f>
        <v>31650</v>
      </c>
      <c r="J607" s="182" t="s">
        <v>124</v>
      </c>
      <c r="K607" s="164">
        <v>46135</v>
      </c>
      <c r="L607" s="176">
        <f>I607/150</f>
        <v>211</v>
      </c>
      <c r="M607" s="184" t="s">
        <v>826</v>
      </c>
      <c r="N607" s="178">
        <v>46159</v>
      </c>
      <c r="O607" s="208" t="s">
        <v>1434</v>
      </c>
      <c r="P607" s="179"/>
      <c r="Q607" s="180"/>
      <c r="V607" s="9"/>
    </row>
    <row r="608" spans="1:22" s="142" customFormat="1" ht="12" customHeight="1" x14ac:dyDescent="0.2">
      <c r="A608" s="171">
        <v>641</v>
      </c>
      <c r="B608" s="159">
        <v>9999</v>
      </c>
      <c r="C608" s="171"/>
      <c r="D608" s="172" t="s">
        <v>1453</v>
      </c>
      <c r="E608" s="173" t="s">
        <v>1443</v>
      </c>
      <c r="F608" s="174" t="s">
        <v>239</v>
      </c>
      <c r="G608" s="174" t="s">
        <v>24</v>
      </c>
      <c r="H608" s="172" t="s">
        <v>1454</v>
      </c>
      <c r="I608" s="162">
        <v>8235</v>
      </c>
      <c r="J608" s="163" t="s">
        <v>124</v>
      </c>
      <c r="K608" s="164">
        <v>46132</v>
      </c>
      <c r="L608" s="176">
        <f>I608/150</f>
        <v>54.9</v>
      </c>
      <c r="M608" s="184" t="s">
        <v>826</v>
      </c>
      <c r="N608" s="178">
        <v>46159</v>
      </c>
      <c r="O608" s="179" t="s">
        <v>1434</v>
      </c>
      <c r="P608" s="179" t="s">
        <v>246</v>
      </c>
      <c r="Q608" s="180">
        <v>46090</v>
      </c>
      <c r="V608" s="9"/>
    </row>
    <row r="609" spans="1:22" s="142" customFormat="1" ht="12" customHeight="1" x14ac:dyDescent="0.2">
      <c r="A609" s="171">
        <v>651</v>
      </c>
      <c r="B609" s="159">
        <v>9999</v>
      </c>
      <c r="C609" s="171"/>
      <c r="D609" s="172" t="s">
        <v>1455</v>
      </c>
      <c r="E609" s="173"/>
      <c r="F609" s="174" t="s">
        <v>616</v>
      </c>
      <c r="G609" s="174" t="s">
        <v>24</v>
      </c>
      <c r="H609" s="172" t="s">
        <v>1456</v>
      </c>
      <c r="I609" s="162">
        <v>12700</v>
      </c>
      <c r="J609" s="163" t="s">
        <v>124</v>
      </c>
      <c r="K609" s="164">
        <v>46107</v>
      </c>
      <c r="L609" s="176">
        <f>I609/150</f>
        <v>84.666666666666671</v>
      </c>
      <c r="M609" s="184" t="s">
        <v>826</v>
      </c>
      <c r="N609" s="185">
        <v>46159</v>
      </c>
      <c r="O609" s="177" t="s">
        <v>1434</v>
      </c>
      <c r="P609" s="179" t="s">
        <v>178</v>
      </c>
      <c r="Q609" s="180">
        <v>46106</v>
      </c>
      <c r="V609" s="9"/>
    </row>
    <row r="610" spans="1:22" s="142" customFormat="1" ht="12" customHeight="1" x14ac:dyDescent="0.2">
      <c r="A610" s="171">
        <v>653</v>
      </c>
      <c r="B610" s="159">
        <v>9999</v>
      </c>
      <c r="C610" s="171"/>
      <c r="D610" s="172" t="s">
        <v>1457</v>
      </c>
      <c r="E610" s="173"/>
      <c r="F610" s="174" t="s">
        <v>616</v>
      </c>
      <c r="G610" s="174" t="s">
        <v>24</v>
      </c>
      <c r="H610" s="172" t="s">
        <v>1458</v>
      </c>
      <c r="I610" s="162">
        <v>6750</v>
      </c>
      <c r="J610" s="163" t="s">
        <v>124</v>
      </c>
      <c r="K610" s="164">
        <v>46132</v>
      </c>
      <c r="L610" s="176">
        <f>I610/150</f>
        <v>45</v>
      </c>
      <c r="M610" s="204" t="s">
        <v>826</v>
      </c>
      <c r="N610" s="185">
        <v>46159</v>
      </c>
      <c r="O610" s="208" t="s">
        <v>1434</v>
      </c>
      <c r="P610" s="179" t="s">
        <v>178</v>
      </c>
      <c r="Q610" s="180">
        <v>46111</v>
      </c>
      <c r="V610" s="9"/>
    </row>
    <row r="611" spans="1:22" s="142" customFormat="1" ht="12" customHeight="1" x14ac:dyDescent="0.2">
      <c r="A611" s="171">
        <v>663</v>
      </c>
      <c r="B611" s="159">
        <v>9999</v>
      </c>
      <c r="C611" s="171"/>
      <c r="D611" s="172" t="s">
        <v>1459</v>
      </c>
      <c r="E611" s="173" t="s">
        <v>1141</v>
      </c>
      <c r="F611" s="174" t="s">
        <v>161</v>
      </c>
      <c r="G611" s="174" t="s">
        <v>24</v>
      </c>
      <c r="H611" s="172" t="s">
        <v>1460</v>
      </c>
      <c r="I611" s="162">
        <v>4320</v>
      </c>
      <c r="J611" s="163" t="s">
        <v>124</v>
      </c>
      <c r="K611" s="164">
        <v>46132</v>
      </c>
      <c r="L611" s="176">
        <f>I611/150</f>
        <v>28.8</v>
      </c>
      <c r="M611" s="184" t="s">
        <v>826</v>
      </c>
      <c r="N611" s="185">
        <v>46159</v>
      </c>
      <c r="O611" s="208" t="s">
        <v>1434</v>
      </c>
      <c r="P611" s="179" t="s">
        <v>98</v>
      </c>
      <c r="Q611" s="180">
        <v>46127</v>
      </c>
      <c r="V611" s="9"/>
    </row>
    <row r="612" spans="1:22" s="142" customFormat="1" ht="12" customHeight="1" x14ac:dyDescent="0.2">
      <c r="A612" s="171">
        <v>664</v>
      </c>
      <c r="B612" s="159">
        <v>9999</v>
      </c>
      <c r="C612" s="171"/>
      <c r="D612" s="172" t="s">
        <v>1461</v>
      </c>
      <c r="E612" s="173" t="s">
        <v>1141</v>
      </c>
      <c r="F612" s="174" t="s">
        <v>161</v>
      </c>
      <c r="G612" s="174" t="s">
        <v>24</v>
      </c>
      <c r="H612" s="172" t="s">
        <v>1462</v>
      </c>
      <c r="I612" s="162">
        <v>4320</v>
      </c>
      <c r="J612" s="163" t="s">
        <v>124</v>
      </c>
      <c r="K612" s="164">
        <v>46132</v>
      </c>
      <c r="L612" s="176">
        <f>I612/150</f>
        <v>28.8</v>
      </c>
      <c r="M612" s="184" t="s">
        <v>826</v>
      </c>
      <c r="N612" s="178">
        <v>46159</v>
      </c>
      <c r="O612" s="186" t="s">
        <v>1434</v>
      </c>
      <c r="P612" s="179" t="s">
        <v>98</v>
      </c>
      <c r="Q612" s="180">
        <v>46127</v>
      </c>
      <c r="V612" s="9"/>
    </row>
    <row r="613" spans="1:22" s="142" customFormat="1" ht="12" customHeight="1" x14ac:dyDescent="0.2">
      <c r="A613" s="171">
        <v>666</v>
      </c>
      <c r="B613" s="159">
        <v>9999</v>
      </c>
      <c r="C613" s="171"/>
      <c r="D613" s="172" t="s">
        <v>1463</v>
      </c>
      <c r="E613" s="173" t="s">
        <v>1141</v>
      </c>
      <c r="F613" s="174" t="s">
        <v>161</v>
      </c>
      <c r="G613" s="174" t="s">
        <v>24</v>
      </c>
      <c r="H613" s="172" t="s">
        <v>1464</v>
      </c>
      <c r="I613" s="162">
        <f>1500</f>
        <v>1500</v>
      </c>
      <c r="J613" s="163" t="s">
        <v>124</v>
      </c>
      <c r="K613" s="164">
        <v>46143</v>
      </c>
      <c r="L613" s="176">
        <f>I613/150</f>
        <v>10</v>
      </c>
      <c r="M613" s="184" t="s">
        <v>826</v>
      </c>
      <c r="N613" s="178">
        <v>46159</v>
      </c>
      <c r="O613" s="177" t="s">
        <v>1434</v>
      </c>
      <c r="P613" s="179" t="s">
        <v>98</v>
      </c>
      <c r="Q613" s="180">
        <v>46132</v>
      </c>
      <c r="V613" s="9"/>
    </row>
    <row r="614" spans="1:22" s="142" customFormat="1" ht="12" customHeight="1" x14ac:dyDescent="0.2">
      <c r="A614" s="171">
        <v>592</v>
      </c>
      <c r="B614" s="159">
        <v>9999</v>
      </c>
      <c r="C614" s="171"/>
      <c r="D614" s="172" t="s">
        <v>1465</v>
      </c>
      <c r="E614" s="189" t="s">
        <v>66</v>
      </c>
      <c r="F614" s="174" t="s">
        <v>66</v>
      </c>
      <c r="G614" s="174" t="s">
        <v>24</v>
      </c>
      <c r="H614" s="172" t="s">
        <v>1466</v>
      </c>
      <c r="I614" s="162">
        <v>43350</v>
      </c>
      <c r="J614" s="163" t="s">
        <v>124</v>
      </c>
      <c r="K614" s="164">
        <v>46122</v>
      </c>
      <c r="L614" s="176">
        <f>I614/150</f>
        <v>289</v>
      </c>
      <c r="M614" s="184" t="s">
        <v>826</v>
      </c>
      <c r="N614" s="185">
        <v>46169</v>
      </c>
      <c r="O614" s="201" t="s">
        <v>1467</v>
      </c>
      <c r="P614" s="179" t="s">
        <v>737</v>
      </c>
      <c r="Q614" s="180"/>
      <c r="V614" s="9"/>
    </row>
    <row r="615" spans="1:22" s="142" customFormat="1" ht="12" customHeight="1" x14ac:dyDescent="0.2">
      <c r="A615" s="171">
        <v>637</v>
      </c>
      <c r="B615" s="159">
        <v>9999</v>
      </c>
      <c r="C615" s="171"/>
      <c r="D615" s="172" t="s">
        <v>1468</v>
      </c>
      <c r="E615" s="209" t="s">
        <v>66</v>
      </c>
      <c r="F615" s="174" t="s">
        <v>66</v>
      </c>
      <c r="G615" s="174" t="s">
        <v>24</v>
      </c>
      <c r="H615" s="172" t="s">
        <v>1469</v>
      </c>
      <c r="I615" s="162">
        <v>53400</v>
      </c>
      <c r="J615" s="163" t="s">
        <v>124</v>
      </c>
      <c r="K615" s="164">
        <v>46133</v>
      </c>
      <c r="L615" s="176">
        <f>I615/150</f>
        <v>356</v>
      </c>
      <c r="M615" s="184" t="s">
        <v>826</v>
      </c>
      <c r="N615" s="185">
        <v>46169</v>
      </c>
      <c r="O615" s="201" t="s">
        <v>1467</v>
      </c>
      <c r="P615" s="179" t="s">
        <v>737</v>
      </c>
      <c r="Q615" s="180"/>
      <c r="V615" s="9"/>
    </row>
    <row r="616" spans="1:22" s="142" customFormat="1" ht="12" customHeight="1" x14ac:dyDescent="0.2">
      <c r="A616" s="210">
        <v>733</v>
      </c>
      <c r="B616" s="211">
        <v>9999</v>
      </c>
      <c r="C616" s="210"/>
      <c r="D616" s="212" t="s">
        <v>1470</v>
      </c>
      <c r="E616" s="212"/>
      <c r="F616" s="212" t="s">
        <v>616</v>
      </c>
      <c r="G616" s="213" t="s">
        <v>24</v>
      </c>
      <c r="H616" s="214" t="s">
        <v>1471</v>
      </c>
      <c r="I616" s="215"/>
      <c r="J616" s="216" t="s">
        <v>35</v>
      </c>
      <c r="K616" s="217" t="s">
        <v>103</v>
      </c>
      <c r="L616" s="218" t="str">
        <f>IF(ISNUMBER(I616), I616/150, "")</f>
        <v/>
      </c>
      <c r="M616" s="219" t="s">
        <v>826</v>
      </c>
      <c r="N616" s="220">
        <v>46174</v>
      </c>
      <c r="O616" s="219"/>
      <c r="P616" s="219"/>
      <c r="Q616" s="103"/>
      <c r="R616" s="40"/>
      <c r="S616" s="40"/>
      <c r="T616" s="40"/>
      <c r="U616" s="40"/>
      <c r="V616" s="9"/>
    </row>
    <row r="617" spans="1:22" s="142" customFormat="1" ht="12" customHeight="1" x14ac:dyDescent="0.2">
      <c r="A617" s="171">
        <v>539</v>
      </c>
      <c r="B617" s="159">
        <v>9999</v>
      </c>
      <c r="C617" s="171">
        <v>4</v>
      </c>
      <c r="D617" s="172" t="s">
        <v>1472</v>
      </c>
      <c r="E617" s="189" t="s">
        <v>135</v>
      </c>
      <c r="F617" s="174" t="s">
        <v>1473</v>
      </c>
      <c r="G617" s="174" t="s">
        <v>33</v>
      </c>
      <c r="H617" s="172" t="s">
        <v>1474</v>
      </c>
      <c r="I617" s="162">
        <v>34875</v>
      </c>
      <c r="J617" s="182" t="s">
        <v>35</v>
      </c>
      <c r="K617" s="200">
        <v>46126</v>
      </c>
      <c r="L617" s="176">
        <f>I617/150</f>
        <v>232.5</v>
      </c>
      <c r="M617" s="184" t="s">
        <v>826</v>
      </c>
      <c r="N617" s="185">
        <v>46201</v>
      </c>
      <c r="O617" s="208" t="s">
        <v>1475</v>
      </c>
      <c r="P617" s="179"/>
      <c r="Q617" s="180"/>
      <c r="V617" s="9"/>
    </row>
    <row r="618" spans="1:22" s="142" customFormat="1" ht="12" customHeight="1" x14ac:dyDescent="0.2">
      <c r="A618" s="171">
        <v>357</v>
      </c>
      <c r="B618" s="159">
        <v>9999</v>
      </c>
      <c r="C618" s="171"/>
      <c r="D618" s="172" t="s">
        <v>1476</v>
      </c>
      <c r="E618" s="173"/>
      <c r="F618" s="197" t="s">
        <v>228</v>
      </c>
      <c r="G618" s="174" t="s">
        <v>24</v>
      </c>
      <c r="H618" s="172" t="s">
        <v>1477</v>
      </c>
      <c r="I618" s="162">
        <v>156750</v>
      </c>
      <c r="J618" s="203" t="s">
        <v>1478</v>
      </c>
      <c r="K618" s="164">
        <v>46135</v>
      </c>
      <c r="L618" s="176">
        <f>I618/150</f>
        <v>1045</v>
      </c>
      <c r="M618" s="184" t="s">
        <v>826</v>
      </c>
      <c r="N618" s="185">
        <v>46201</v>
      </c>
      <c r="O618" s="208" t="s">
        <v>1475</v>
      </c>
      <c r="P618" s="195"/>
      <c r="Q618" s="196"/>
      <c r="V618" s="9"/>
    </row>
    <row r="619" spans="1:22" s="142" customFormat="1" ht="12" customHeight="1" x14ac:dyDescent="0.2">
      <c r="A619" s="171">
        <v>455</v>
      </c>
      <c r="B619" s="159">
        <v>9999</v>
      </c>
      <c r="C619" s="171"/>
      <c r="D619" s="172" t="s">
        <v>1479</v>
      </c>
      <c r="E619" s="173"/>
      <c r="F619" s="174" t="s">
        <v>1480</v>
      </c>
      <c r="G619" s="202" t="s">
        <v>48</v>
      </c>
      <c r="H619" s="172" t="s">
        <v>49</v>
      </c>
      <c r="I619" s="162">
        <v>32000</v>
      </c>
      <c r="J619" s="163" t="s">
        <v>35</v>
      </c>
      <c r="K619" s="200">
        <v>46169</v>
      </c>
      <c r="L619" s="176">
        <f>I619/150</f>
        <v>213.33333333333334</v>
      </c>
      <c r="M619" s="184" t="s">
        <v>826</v>
      </c>
      <c r="N619" s="185">
        <v>46201</v>
      </c>
      <c r="O619" s="208" t="s">
        <v>1475</v>
      </c>
      <c r="P619" s="179"/>
      <c r="Q619" s="180"/>
      <c r="V619" s="9"/>
    </row>
    <row r="620" spans="1:22" s="142" customFormat="1" ht="12" customHeight="1" x14ac:dyDescent="0.2">
      <c r="A620" s="171">
        <v>506</v>
      </c>
      <c r="B620" s="159">
        <v>9999</v>
      </c>
      <c r="C620" s="171"/>
      <c r="D620" s="221" t="s">
        <v>1481</v>
      </c>
      <c r="E620" s="173" t="s">
        <v>297</v>
      </c>
      <c r="F620" s="205" t="s">
        <v>236</v>
      </c>
      <c r="G620" s="201" t="s">
        <v>48</v>
      </c>
      <c r="H620" s="172" t="s">
        <v>1482</v>
      </c>
      <c r="I620" s="162">
        <v>15000</v>
      </c>
      <c r="J620" s="182" t="s">
        <v>124</v>
      </c>
      <c r="K620" s="200">
        <v>46143</v>
      </c>
      <c r="L620" s="176">
        <f>I620/150</f>
        <v>100</v>
      </c>
      <c r="M620" s="184" t="s">
        <v>826</v>
      </c>
      <c r="N620" s="185">
        <v>46201</v>
      </c>
      <c r="O620" s="208" t="s">
        <v>1475</v>
      </c>
      <c r="P620" s="195"/>
      <c r="Q620" s="196"/>
      <c r="V620" s="9"/>
    </row>
    <row r="621" spans="1:22" s="142" customFormat="1" ht="12" customHeight="1" x14ac:dyDescent="0.2">
      <c r="A621" s="171">
        <v>533</v>
      </c>
      <c r="B621" s="159">
        <v>9999</v>
      </c>
      <c r="C621" s="171"/>
      <c r="D621" s="172" t="s">
        <v>1483</v>
      </c>
      <c r="E621" s="173" t="s">
        <v>297</v>
      </c>
      <c r="F621" s="174" t="s">
        <v>236</v>
      </c>
      <c r="G621" s="202" t="s">
        <v>48</v>
      </c>
      <c r="H621" s="172" t="s">
        <v>1484</v>
      </c>
      <c r="I621" s="162">
        <v>282600</v>
      </c>
      <c r="J621" s="182" t="s">
        <v>124</v>
      </c>
      <c r="K621" s="200">
        <v>46134</v>
      </c>
      <c r="L621" s="176">
        <f>I621/150</f>
        <v>1884</v>
      </c>
      <c r="M621" s="184" t="s">
        <v>826</v>
      </c>
      <c r="N621" s="185">
        <v>46201</v>
      </c>
      <c r="O621" s="208" t="s">
        <v>1475</v>
      </c>
      <c r="P621" s="195"/>
      <c r="Q621" s="196"/>
      <c r="V621" s="9"/>
    </row>
    <row r="622" spans="1:22" s="142" customFormat="1" ht="12" customHeight="1" x14ac:dyDescent="0.2">
      <c r="A622" s="171">
        <v>577</v>
      </c>
      <c r="B622" s="159">
        <v>9999</v>
      </c>
      <c r="C622" s="171"/>
      <c r="D622" s="172" t="s">
        <v>1485</v>
      </c>
      <c r="E622" s="221" t="s">
        <v>1486</v>
      </c>
      <c r="F622" s="172" t="s">
        <v>161</v>
      </c>
      <c r="G622" s="172" t="s">
        <v>24</v>
      </c>
      <c r="H622" s="172" t="s">
        <v>1487</v>
      </c>
      <c r="I622" s="162"/>
      <c r="J622" s="163" t="s">
        <v>35</v>
      </c>
      <c r="K622" s="164" t="s">
        <v>35</v>
      </c>
      <c r="L622" s="176"/>
      <c r="M622" s="184" t="s">
        <v>826</v>
      </c>
      <c r="N622" s="185">
        <v>46201</v>
      </c>
      <c r="O622" s="208" t="s">
        <v>1475</v>
      </c>
      <c r="P622" s="179"/>
      <c r="Q622" s="180"/>
      <c r="V622" s="9"/>
    </row>
    <row r="623" spans="1:22" s="142" customFormat="1" ht="12" customHeight="1" x14ac:dyDescent="0.2">
      <c r="A623" s="171">
        <v>613</v>
      </c>
      <c r="B623" s="159">
        <v>9999</v>
      </c>
      <c r="C623" s="171"/>
      <c r="D623" s="172" t="s">
        <v>1488</v>
      </c>
      <c r="E623" s="173"/>
      <c r="F623" s="174" t="s">
        <v>161</v>
      </c>
      <c r="G623" s="174" t="s">
        <v>24</v>
      </c>
      <c r="H623" s="172" t="s">
        <v>1489</v>
      </c>
      <c r="I623" s="162"/>
      <c r="J623" s="163" t="s">
        <v>35</v>
      </c>
      <c r="K623" s="164" t="s">
        <v>35</v>
      </c>
      <c r="L623" s="194"/>
      <c r="M623" s="184" t="s">
        <v>826</v>
      </c>
      <c r="N623" s="185">
        <v>46201</v>
      </c>
      <c r="O623" s="208" t="s">
        <v>1475</v>
      </c>
      <c r="P623" s="179"/>
      <c r="Q623" s="180"/>
      <c r="V623" s="9"/>
    </row>
    <row r="624" spans="1:22" s="142" customFormat="1" ht="12" customHeight="1" x14ac:dyDescent="0.2">
      <c r="A624" s="171">
        <v>617</v>
      </c>
      <c r="B624" s="159">
        <v>9999</v>
      </c>
      <c r="C624" s="171"/>
      <c r="D624" s="172" t="s">
        <v>1490</v>
      </c>
      <c r="E624" s="173" t="s">
        <v>297</v>
      </c>
      <c r="F624" s="174" t="s">
        <v>32</v>
      </c>
      <c r="G624" s="174" t="s">
        <v>24</v>
      </c>
      <c r="H624" s="172" t="s">
        <v>1491</v>
      </c>
      <c r="I624" s="162">
        <v>5000</v>
      </c>
      <c r="J624" s="163" t="s">
        <v>35</v>
      </c>
      <c r="K624" s="175" t="s">
        <v>1492</v>
      </c>
      <c r="L624" s="176">
        <f>I624/150</f>
        <v>33.333333333333336</v>
      </c>
      <c r="M624" s="184" t="s">
        <v>826</v>
      </c>
      <c r="N624" s="185">
        <v>46201</v>
      </c>
      <c r="O624" s="208" t="s">
        <v>1475</v>
      </c>
      <c r="P624" s="179"/>
      <c r="Q624" s="180"/>
      <c r="V624" s="9"/>
    </row>
    <row r="625" spans="1:22" s="142" customFormat="1" ht="12" customHeight="1" x14ac:dyDescent="0.2">
      <c r="A625" s="171">
        <v>618</v>
      </c>
      <c r="B625" s="159">
        <v>9999</v>
      </c>
      <c r="C625" s="171"/>
      <c r="D625" s="172" t="s">
        <v>1493</v>
      </c>
      <c r="E625" s="173" t="s">
        <v>65</v>
      </c>
      <c r="F625" s="174" t="s">
        <v>32</v>
      </c>
      <c r="G625" s="174" t="s">
        <v>24</v>
      </c>
      <c r="H625" s="172" t="s">
        <v>1494</v>
      </c>
      <c r="I625" s="162">
        <v>5000</v>
      </c>
      <c r="J625" s="163" t="s">
        <v>35</v>
      </c>
      <c r="K625" s="175" t="s">
        <v>1492</v>
      </c>
      <c r="L625" s="176">
        <f>I625/150</f>
        <v>33.333333333333336</v>
      </c>
      <c r="M625" s="184" t="s">
        <v>826</v>
      </c>
      <c r="N625" s="185">
        <v>46201</v>
      </c>
      <c r="O625" s="177" t="s">
        <v>29</v>
      </c>
      <c r="P625" s="179"/>
      <c r="Q625" s="180"/>
      <c r="V625" s="9"/>
    </row>
    <row r="626" spans="1:22" s="142" customFormat="1" ht="12" customHeight="1" x14ac:dyDescent="0.2">
      <c r="A626" s="171">
        <v>646</v>
      </c>
      <c r="B626" s="159">
        <v>9999</v>
      </c>
      <c r="C626" s="171"/>
      <c r="D626" s="172" t="s">
        <v>1495</v>
      </c>
      <c r="E626" s="173" t="s">
        <v>268</v>
      </c>
      <c r="F626" s="174" t="s">
        <v>32</v>
      </c>
      <c r="G626" s="174" t="s">
        <v>24</v>
      </c>
      <c r="H626" s="172" t="s">
        <v>1496</v>
      </c>
      <c r="I626" s="162"/>
      <c r="J626" s="182" t="s">
        <v>268</v>
      </c>
      <c r="K626" s="175" t="s">
        <v>87</v>
      </c>
      <c r="L626" s="176"/>
      <c r="M626" s="184" t="s">
        <v>826</v>
      </c>
      <c r="N626" s="185">
        <v>46201</v>
      </c>
      <c r="O626" s="208" t="s">
        <v>1475</v>
      </c>
      <c r="P626" s="179" t="s">
        <v>1497</v>
      </c>
      <c r="Q626" s="180">
        <v>46094</v>
      </c>
      <c r="V626" s="9"/>
    </row>
    <row r="627" spans="1:22" s="142" customFormat="1" ht="12" customHeight="1" x14ac:dyDescent="0.2">
      <c r="A627" s="222">
        <v>665</v>
      </c>
      <c r="B627" s="159">
        <v>9999</v>
      </c>
      <c r="C627" s="222"/>
      <c r="D627" s="172" t="s">
        <v>1498</v>
      </c>
      <c r="E627" s="193"/>
      <c r="F627" s="197" t="s">
        <v>239</v>
      </c>
      <c r="G627" s="197" t="s">
        <v>24</v>
      </c>
      <c r="H627" s="172" t="s">
        <v>1499</v>
      </c>
      <c r="I627" s="162"/>
      <c r="J627" s="163" t="s">
        <v>35</v>
      </c>
      <c r="K627" s="164" t="s">
        <v>35</v>
      </c>
      <c r="L627" s="176"/>
      <c r="M627" s="184" t="s">
        <v>826</v>
      </c>
      <c r="N627" s="185">
        <v>46201</v>
      </c>
      <c r="O627" s="208" t="s">
        <v>1475</v>
      </c>
      <c r="P627" s="177" t="s">
        <v>794</v>
      </c>
      <c r="Q627" s="192">
        <v>46132</v>
      </c>
      <c r="R627" s="157"/>
      <c r="S627" s="157"/>
      <c r="T627" s="157"/>
      <c r="U627" s="157"/>
      <c r="V627" s="9"/>
    </row>
    <row r="628" spans="1:22" s="142" customFormat="1" ht="12" customHeight="1" x14ac:dyDescent="0.2">
      <c r="A628" s="171">
        <v>683</v>
      </c>
      <c r="B628" s="159">
        <v>9999</v>
      </c>
      <c r="C628" s="171"/>
      <c r="D628" s="172" t="s">
        <v>1500</v>
      </c>
      <c r="E628" s="173"/>
      <c r="F628" s="174" t="s">
        <v>32</v>
      </c>
      <c r="G628" s="174" t="s">
        <v>24</v>
      </c>
      <c r="H628" s="172" t="s">
        <v>1501</v>
      </c>
      <c r="I628" s="223">
        <v>10125</v>
      </c>
      <c r="J628" s="163" t="s">
        <v>35</v>
      </c>
      <c r="K628" s="163" t="s">
        <v>35</v>
      </c>
      <c r="L628" s="176"/>
      <c r="M628" s="184" t="s">
        <v>826</v>
      </c>
      <c r="N628" s="185">
        <v>46201</v>
      </c>
      <c r="O628" s="208" t="s">
        <v>1475</v>
      </c>
      <c r="P628" s="179" t="s">
        <v>98</v>
      </c>
      <c r="Q628" s="180">
        <v>46153</v>
      </c>
      <c r="V628" s="9"/>
    </row>
    <row r="629" spans="1:22" s="142" customFormat="1" ht="12" customHeight="1" x14ac:dyDescent="0.2">
      <c r="A629" s="158">
        <v>576</v>
      </c>
      <c r="B629" s="159">
        <v>9999</v>
      </c>
      <c r="C629" s="158"/>
      <c r="D629" s="160" t="s">
        <v>1502</v>
      </c>
      <c r="E629" s="161"/>
      <c r="F629" s="160" t="s">
        <v>1503</v>
      </c>
      <c r="G629" s="160" t="s">
        <v>24</v>
      </c>
      <c r="H629" s="160" t="s">
        <v>1504</v>
      </c>
      <c r="I629" s="162">
        <f>54000+855000</f>
        <v>909000</v>
      </c>
      <c r="J629" s="163" t="s">
        <v>41</v>
      </c>
      <c r="K629" s="164" t="s">
        <v>1505</v>
      </c>
      <c r="L629" s="165">
        <f>I629/150</f>
        <v>6060</v>
      </c>
      <c r="M629" s="166" t="s">
        <v>826</v>
      </c>
      <c r="N629" s="167">
        <v>46202</v>
      </c>
      <c r="O629" s="166" t="s">
        <v>1475</v>
      </c>
      <c r="P629" s="166"/>
      <c r="Q629" s="168"/>
      <c r="V629" s="9"/>
    </row>
    <row r="630" spans="1:22" s="142" customFormat="1" ht="12" customHeight="1" x14ac:dyDescent="0.2">
      <c r="A630" s="171">
        <v>693</v>
      </c>
      <c r="B630" s="159">
        <v>9999</v>
      </c>
      <c r="C630" s="171"/>
      <c r="D630" s="172" t="s">
        <v>1506</v>
      </c>
      <c r="E630" s="173"/>
      <c r="F630" s="174" t="s">
        <v>161</v>
      </c>
      <c r="G630" s="174" t="s">
        <v>24</v>
      </c>
      <c r="H630" s="172" t="s">
        <v>1507</v>
      </c>
      <c r="I630" s="162"/>
      <c r="J630" s="163" t="s">
        <v>35</v>
      </c>
      <c r="K630" s="200" t="s">
        <v>83</v>
      </c>
      <c r="L630" s="176" t="str">
        <f>IF(ISNUMBER(I630), I630/150, "")</f>
        <v/>
      </c>
      <c r="M630" s="177" t="s">
        <v>826</v>
      </c>
      <c r="N630" s="178">
        <v>46215</v>
      </c>
      <c r="O630" s="177" t="s">
        <v>1508</v>
      </c>
      <c r="P630" s="179" t="s">
        <v>93</v>
      </c>
      <c r="Q630" s="180">
        <v>46170</v>
      </c>
      <c r="V630" s="9"/>
    </row>
    <row r="631" spans="1:22" s="142" customFormat="1" ht="12" customHeight="1" x14ac:dyDescent="0.2">
      <c r="A631" s="224">
        <v>717</v>
      </c>
      <c r="B631" s="224">
        <v>9999</v>
      </c>
      <c r="C631" s="224"/>
      <c r="D631" s="225" t="s">
        <v>1509</v>
      </c>
      <c r="E631" s="226"/>
      <c r="F631" s="227" t="s">
        <v>39</v>
      </c>
      <c r="G631" s="228" t="s">
        <v>48</v>
      </c>
      <c r="H631" s="225" t="s">
        <v>1510</v>
      </c>
      <c r="I631" s="215" t="s">
        <v>1386</v>
      </c>
      <c r="J631" s="229" t="s">
        <v>35</v>
      </c>
      <c r="K631" s="230" t="s">
        <v>35</v>
      </c>
      <c r="L631" s="231" t="str">
        <f>IF(ISNUMBER(I631), I631/150, "")</f>
        <v/>
      </c>
      <c r="M631" s="227" t="s">
        <v>826</v>
      </c>
      <c r="N631" s="232">
        <v>46215</v>
      </c>
      <c r="O631" s="227" t="s">
        <v>1508</v>
      </c>
      <c r="P631" s="227" t="s">
        <v>45</v>
      </c>
      <c r="Q631" s="233">
        <v>46203</v>
      </c>
      <c r="R631" s="234"/>
      <c r="S631" s="234"/>
      <c r="T631" s="234"/>
      <c r="U631" s="234"/>
      <c r="V631" s="9"/>
    </row>
    <row r="632" spans="1:22" s="142" customFormat="1" ht="12" customHeight="1" x14ac:dyDescent="0.2">
      <c r="A632" s="171" t="s">
        <v>1511</v>
      </c>
      <c r="B632" s="159">
        <v>9999</v>
      </c>
      <c r="C632" s="171"/>
      <c r="D632" s="172" t="s">
        <v>1512</v>
      </c>
      <c r="E632" s="173"/>
      <c r="F632" s="174" t="s">
        <v>1513</v>
      </c>
      <c r="G632" s="174" t="s">
        <v>24</v>
      </c>
      <c r="H632" s="172" t="s">
        <v>1514</v>
      </c>
      <c r="I632" s="162">
        <v>909000</v>
      </c>
      <c r="J632" s="163" t="s">
        <v>41</v>
      </c>
      <c r="K632" s="200" t="s">
        <v>1505</v>
      </c>
      <c r="L632" s="176">
        <f>IF(ISNUMBER(I632), I632/150, "")</f>
        <v>6060</v>
      </c>
      <c r="M632" s="177" t="s">
        <v>826</v>
      </c>
      <c r="N632" s="178">
        <v>46215</v>
      </c>
      <c r="O632" s="177" t="s">
        <v>1508</v>
      </c>
      <c r="P632" s="179" t="s">
        <v>141</v>
      </c>
      <c r="Q632" s="180">
        <v>46204</v>
      </c>
      <c r="V632" s="9"/>
    </row>
    <row r="633" spans="1:22" s="142" customFormat="1" ht="12" customHeight="1" x14ac:dyDescent="0.2">
      <c r="A633" s="171">
        <v>2</v>
      </c>
      <c r="B633" s="159">
        <v>9999</v>
      </c>
      <c r="C633" s="171"/>
      <c r="D633" s="172" t="s">
        <v>1515</v>
      </c>
      <c r="E633" s="189" t="s">
        <v>243</v>
      </c>
      <c r="F633" s="174" t="s">
        <v>1516</v>
      </c>
      <c r="G633" s="174" t="s">
        <v>81</v>
      </c>
      <c r="H633" s="172" t="s">
        <v>1517</v>
      </c>
      <c r="I633" s="162"/>
      <c r="J633" s="163" t="s">
        <v>35</v>
      </c>
      <c r="K633" s="164" t="s">
        <v>35</v>
      </c>
      <c r="L633" s="176"/>
      <c r="M633" s="177" t="s">
        <v>627</v>
      </c>
      <c r="N633" s="178">
        <v>46280</v>
      </c>
      <c r="O633" s="179" t="s">
        <v>1518</v>
      </c>
      <c r="P633" s="179"/>
      <c r="Q633" s="180"/>
      <c r="V633" s="9"/>
    </row>
    <row r="634" spans="1:22" s="142" customFormat="1" ht="12" customHeight="1" x14ac:dyDescent="0.2">
      <c r="A634" s="158">
        <v>1</v>
      </c>
      <c r="B634" s="159">
        <v>9999</v>
      </c>
      <c r="C634" s="158"/>
      <c r="D634" s="160" t="s">
        <v>1519</v>
      </c>
      <c r="E634" s="161"/>
      <c r="F634" s="160" t="s">
        <v>77</v>
      </c>
      <c r="G634" s="160" t="s">
        <v>181</v>
      </c>
      <c r="H634" s="160" t="s">
        <v>668</v>
      </c>
      <c r="I634" s="169"/>
      <c r="J634" s="163"/>
      <c r="K634" s="164"/>
      <c r="L634" s="165"/>
      <c r="M634" s="166" t="s">
        <v>826</v>
      </c>
      <c r="N634" s="167"/>
      <c r="O634" s="166"/>
      <c r="P634" s="166"/>
      <c r="Q634" s="168"/>
      <c r="V634" s="9"/>
    </row>
    <row r="635" spans="1:22" s="142" customFormat="1" ht="12" customHeight="1" x14ac:dyDescent="0.2">
      <c r="A635" s="158">
        <v>14</v>
      </c>
      <c r="B635" s="159">
        <v>9999</v>
      </c>
      <c r="C635" s="158"/>
      <c r="D635" s="160" t="s">
        <v>1520</v>
      </c>
      <c r="E635" s="161" t="s">
        <v>121</v>
      </c>
      <c r="F635" s="160" t="s">
        <v>131</v>
      </c>
      <c r="G635" s="160" t="s">
        <v>181</v>
      </c>
      <c r="H635" s="160" t="s">
        <v>1521</v>
      </c>
      <c r="I635" s="169"/>
      <c r="J635" s="163"/>
      <c r="K635" s="164"/>
      <c r="L635" s="165"/>
      <c r="M635" s="166" t="s">
        <v>627</v>
      </c>
      <c r="N635" s="167"/>
      <c r="O635" s="166"/>
      <c r="P635" s="166"/>
      <c r="Q635" s="168"/>
      <c r="V635" s="9"/>
    </row>
    <row r="636" spans="1:22" s="142" customFormat="1" ht="12" customHeight="1" x14ac:dyDescent="0.2">
      <c r="A636" s="158">
        <v>21</v>
      </c>
      <c r="B636" s="159">
        <v>9999</v>
      </c>
      <c r="C636" s="158"/>
      <c r="D636" s="160" t="s">
        <v>1522</v>
      </c>
      <c r="E636" s="161" t="s">
        <v>121</v>
      </c>
      <c r="F636" s="160" t="s">
        <v>1523</v>
      </c>
      <c r="G636" s="160" t="s">
        <v>33</v>
      </c>
      <c r="H636" s="160" t="s">
        <v>1524</v>
      </c>
      <c r="I636" s="162"/>
      <c r="J636" s="163"/>
      <c r="K636" s="164"/>
      <c r="L636" s="165"/>
      <c r="M636" s="166" t="s">
        <v>627</v>
      </c>
      <c r="N636" s="167"/>
      <c r="O636" s="166"/>
      <c r="P636" s="166"/>
      <c r="Q636" s="168"/>
      <c r="V636" s="9"/>
    </row>
    <row r="637" spans="1:22" s="142" customFormat="1" ht="12" customHeight="1" x14ac:dyDescent="0.2">
      <c r="A637" s="158">
        <v>26</v>
      </c>
      <c r="B637" s="159">
        <v>9999</v>
      </c>
      <c r="C637" s="158"/>
      <c r="D637" s="160" t="s">
        <v>1525</v>
      </c>
      <c r="E637" s="161"/>
      <c r="F637" s="160" t="s">
        <v>1526</v>
      </c>
      <c r="G637" s="160" t="s">
        <v>24</v>
      </c>
      <c r="H637" s="160"/>
      <c r="I637" s="162"/>
      <c r="J637" s="163"/>
      <c r="K637" s="164"/>
      <c r="L637" s="165"/>
      <c r="M637" s="166" t="s">
        <v>826</v>
      </c>
      <c r="N637" s="167"/>
      <c r="O637" s="166"/>
      <c r="P637" s="166"/>
      <c r="Q637" s="168"/>
      <c r="V637" s="9"/>
    </row>
    <row r="638" spans="1:22" s="142" customFormat="1" ht="12" customHeight="1" x14ac:dyDescent="0.2">
      <c r="A638" s="158">
        <v>27</v>
      </c>
      <c r="B638" s="159">
        <v>9999</v>
      </c>
      <c r="C638" s="158"/>
      <c r="D638" s="160" t="s">
        <v>1527</v>
      </c>
      <c r="E638" s="161"/>
      <c r="F638" s="160" t="s">
        <v>271</v>
      </c>
      <c r="G638" s="160" t="s">
        <v>24</v>
      </c>
      <c r="H638" s="160" t="s">
        <v>1528</v>
      </c>
      <c r="I638" s="162"/>
      <c r="J638" s="163"/>
      <c r="K638" s="164"/>
      <c r="L638" s="165"/>
      <c r="M638" s="166" t="s">
        <v>627</v>
      </c>
      <c r="N638" s="167"/>
      <c r="O638" s="166"/>
      <c r="P638" s="166"/>
      <c r="Q638" s="168"/>
      <c r="V638" s="9"/>
    </row>
    <row r="639" spans="1:22" s="142" customFormat="1" ht="12" customHeight="1" x14ac:dyDescent="0.2">
      <c r="A639" s="158">
        <v>30</v>
      </c>
      <c r="B639" s="159">
        <v>9999</v>
      </c>
      <c r="C639" s="158"/>
      <c r="D639" s="160" t="s">
        <v>1529</v>
      </c>
      <c r="E639" s="161"/>
      <c r="F639" s="160"/>
      <c r="G639" s="160"/>
      <c r="H639" s="160" t="s">
        <v>1530</v>
      </c>
      <c r="I639" s="162"/>
      <c r="J639" s="163"/>
      <c r="K639" s="164"/>
      <c r="L639" s="165"/>
      <c r="M639" s="166" t="s">
        <v>627</v>
      </c>
      <c r="N639" s="167"/>
      <c r="O639" s="166"/>
      <c r="P639" s="166"/>
      <c r="Q639" s="168"/>
      <c r="V639" s="9"/>
    </row>
    <row r="640" spans="1:22" s="142" customFormat="1" ht="12" customHeight="1" x14ac:dyDescent="0.2">
      <c r="A640" s="158">
        <v>31</v>
      </c>
      <c r="B640" s="159">
        <v>9999</v>
      </c>
      <c r="C640" s="158"/>
      <c r="D640" s="160" t="s">
        <v>1531</v>
      </c>
      <c r="E640" s="161"/>
      <c r="F640" s="160" t="s">
        <v>1227</v>
      </c>
      <c r="G640" s="160" t="s">
        <v>33</v>
      </c>
      <c r="H640" s="160" t="s">
        <v>1532</v>
      </c>
      <c r="I640" s="162"/>
      <c r="J640" s="163"/>
      <c r="K640" s="164"/>
      <c r="L640" s="165"/>
      <c r="M640" s="166" t="s">
        <v>627</v>
      </c>
      <c r="N640" s="167"/>
      <c r="O640" s="166"/>
      <c r="P640" s="166"/>
      <c r="Q640" s="168"/>
      <c r="V640" s="9"/>
    </row>
    <row r="641" spans="1:22" s="142" customFormat="1" ht="12" customHeight="1" x14ac:dyDescent="0.2">
      <c r="A641" s="158">
        <v>34</v>
      </c>
      <c r="B641" s="159">
        <v>9999</v>
      </c>
      <c r="C641" s="158"/>
      <c r="D641" s="160" t="s">
        <v>1533</v>
      </c>
      <c r="E641" s="161"/>
      <c r="F641" s="160"/>
      <c r="G641" s="160"/>
      <c r="H641" s="160" t="s">
        <v>1534</v>
      </c>
      <c r="I641" s="162"/>
      <c r="J641" s="163"/>
      <c r="K641" s="164"/>
      <c r="L641" s="165"/>
      <c r="M641" s="166" t="s">
        <v>627</v>
      </c>
      <c r="N641" s="167"/>
      <c r="O641" s="166"/>
      <c r="P641" s="166"/>
      <c r="Q641" s="168"/>
      <c r="V641" s="9"/>
    </row>
    <row r="642" spans="1:22" s="142" customFormat="1" ht="12" customHeight="1" x14ac:dyDescent="0.2">
      <c r="A642" s="158">
        <v>37</v>
      </c>
      <c r="B642" s="159">
        <v>9999</v>
      </c>
      <c r="C642" s="158"/>
      <c r="D642" s="160" t="s">
        <v>1535</v>
      </c>
      <c r="E642" s="161"/>
      <c r="F642" s="160" t="s">
        <v>32</v>
      </c>
      <c r="G642" s="160"/>
      <c r="H642" s="160" t="s">
        <v>1536</v>
      </c>
      <c r="I642" s="162"/>
      <c r="J642" s="163"/>
      <c r="K642" s="164"/>
      <c r="L642" s="165"/>
      <c r="M642" s="166" t="s">
        <v>826</v>
      </c>
      <c r="N642" s="167"/>
      <c r="O642" s="166"/>
      <c r="P642" s="166"/>
      <c r="Q642" s="168"/>
      <c r="V642" s="9"/>
    </row>
    <row r="643" spans="1:22" s="142" customFormat="1" ht="12" customHeight="1" x14ac:dyDescent="0.2">
      <c r="A643" s="171">
        <v>40</v>
      </c>
      <c r="B643" s="211">
        <v>9999</v>
      </c>
      <c r="C643" s="171"/>
      <c r="D643" s="172" t="s">
        <v>1537</v>
      </c>
      <c r="E643" s="173"/>
      <c r="F643" s="174" t="s">
        <v>202</v>
      </c>
      <c r="G643" s="174" t="s">
        <v>33</v>
      </c>
      <c r="H643" s="172" t="s">
        <v>1538</v>
      </c>
      <c r="I643" s="162"/>
      <c r="J643" s="163"/>
      <c r="K643" s="164"/>
      <c r="L643" s="176" t="str">
        <f>IF(ISNUMBER(I643), I643/150, "")</f>
        <v/>
      </c>
      <c r="M643" s="177" t="s">
        <v>627</v>
      </c>
      <c r="N643" s="178"/>
      <c r="O643" s="179"/>
      <c r="P643" s="179"/>
      <c r="Q643" s="180"/>
      <c r="V643" s="9"/>
    </row>
    <row r="644" spans="1:22" s="142" customFormat="1" ht="12" customHeight="1" x14ac:dyDescent="0.2">
      <c r="A644" s="158">
        <v>41</v>
      </c>
      <c r="B644" s="159">
        <v>9999</v>
      </c>
      <c r="C644" s="158"/>
      <c r="D644" s="160" t="s">
        <v>1539</v>
      </c>
      <c r="E644" s="161"/>
      <c r="F644" s="160" t="s">
        <v>95</v>
      </c>
      <c r="G644" s="160" t="s">
        <v>33</v>
      </c>
      <c r="H644" s="160" t="s">
        <v>1540</v>
      </c>
      <c r="I644" s="162"/>
      <c r="J644" s="163"/>
      <c r="K644" s="164"/>
      <c r="L644" s="165"/>
      <c r="M644" s="166" t="s">
        <v>627</v>
      </c>
      <c r="N644" s="167"/>
      <c r="O644" s="166"/>
      <c r="P644" s="166"/>
      <c r="Q644" s="168"/>
      <c r="V644" s="9"/>
    </row>
    <row r="645" spans="1:22" s="142" customFormat="1" ht="12" customHeight="1" x14ac:dyDescent="0.2">
      <c r="A645" s="158">
        <v>45</v>
      </c>
      <c r="B645" s="159">
        <v>9999</v>
      </c>
      <c r="C645" s="158"/>
      <c r="D645" s="160" t="s">
        <v>1541</v>
      </c>
      <c r="E645" s="161"/>
      <c r="F645" s="160" t="s">
        <v>1224</v>
      </c>
      <c r="G645" s="160" t="s">
        <v>24</v>
      </c>
      <c r="H645" s="160"/>
      <c r="I645" s="162"/>
      <c r="J645" s="163"/>
      <c r="K645" s="164"/>
      <c r="L645" s="165"/>
      <c r="M645" s="166" t="s">
        <v>627</v>
      </c>
      <c r="N645" s="167"/>
      <c r="O645" s="166"/>
      <c r="P645" s="166"/>
      <c r="Q645" s="168"/>
      <c r="V645" s="9"/>
    </row>
    <row r="646" spans="1:22" s="142" customFormat="1" ht="12" customHeight="1" x14ac:dyDescent="0.2">
      <c r="A646" s="158">
        <v>49</v>
      </c>
      <c r="B646" s="159">
        <v>9999</v>
      </c>
      <c r="C646" s="158"/>
      <c r="D646" s="160" t="s">
        <v>1542</v>
      </c>
      <c r="E646" s="161"/>
      <c r="F646" s="160" t="s">
        <v>519</v>
      </c>
      <c r="G646" s="160" t="s">
        <v>33</v>
      </c>
      <c r="H646" s="166" t="s">
        <v>1543</v>
      </c>
      <c r="I646" s="162"/>
      <c r="J646" s="163"/>
      <c r="K646" s="164"/>
      <c r="L646" s="165"/>
      <c r="M646" s="167" t="s">
        <v>826</v>
      </c>
      <c r="N646" s="167"/>
      <c r="O646" s="235"/>
      <c r="P646" s="235"/>
      <c r="Q646" s="236"/>
      <c r="V646" s="9"/>
    </row>
    <row r="647" spans="1:22" s="142" customFormat="1" ht="12" customHeight="1" x14ac:dyDescent="0.2">
      <c r="A647" s="171">
        <v>52</v>
      </c>
      <c r="B647" s="211">
        <v>9999</v>
      </c>
      <c r="C647" s="171"/>
      <c r="D647" s="172" t="s">
        <v>1544</v>
      </c>
      <c r="E647" s="173"/>
      <c r="F647" s="174" t="s">
        <v>1300</v>
      </c>
      <c r="G647" s="174" t="s">
        <v>33</v>
      </c>
      <c r="H647" s="237" t="s">
        <v>1545</v>
      </c>
      <c r="I647" s="162"/>
      <c r="J647" s="163" t="s">
        <v>35</v>
      </c>
      <c r="K647" s="175" t="s">
        <v>35</v>
      </c>
      <c r="L647" s="176" t="str">
        <f>IF(ISNUMBER(I647), I647/150, "")</f>
        <v/>
      </c>
      <c r="M647" s="177" t="s">
        <v>627</v>
      </c>
      <c r="N647" s="178"/>
      <c r="O647" s="179"/>
      <c r="P647" s="179"/>
      <c r="Q647" s="180"/>
      <c r="V647" s="9"/>
    </row>
    <row r="648" spans="1:22" s="142" customFormat="1" ht="12" customHeight="1" x14ac:dyDescent="0.2">
      <c r="A648" s="171">
        <v>54</v>
      </c>
      <c r="B648" s="211">
        <v>9999</v>
      </c>
      <c r="C648" s="171"/>
      <c r="D648" s="172" t="s">
        <v>1546</v>
      </c>
      <c r="E648" s="173"/>
      <c r="F648" s="174" t="s">
        <v>519</v>
      </c>
      <c r="G648" s="174" t="s">
        <v>33</v>
      </c>
      <c r="H648" s="237" t="s">
        <v>1545</v>
      </c>
      <c r="I648" s="162"/>
      <c r="J648" s="163" t="s">
        <v>35</v>
      </c>
      <c r="K648" s="175" t="s">
        <v>35</v>
      </c>
      <c r="L648" s="176" t="str">
        <f>IF(ISNUMBER(I648), I648/150, "")</f>
        <v/>
      </c>
      <c r="M648" s="177" t="s">
        <v>627</v>
      </c>
      <c r="N648" s="178"/>
      <c r="O648" s="179"/>
      <c r="P648" s="179"/>
      <c r="Q648" s="180"/>
      <c r="V648" s="9"/>
    </row>
    <row r="649" spans="1:22" s="142" customFormat="1" ht="12" customHeight="1" x14ac:dyDescent="0.2">
      <c r="A649" s="158">
        <v>56</v>
      </c>
      <c r="B649" s="159">
        <v>9999</v>
      </c>
      <c r="C649" s="158"/>
      <c r="D649" s="160" t="s">
        <v>932</v>
      </c>
      <c r="E649" s="161"/>
      <c r="F649" s="160" t="s">
        <v>1526</v>
      </c>
      <c r="G649" s="160" t="s">
        <v>181</v>
      </c>
      <c r="H649" s="160" t="s">
        <v>1547</v>
      </c>
      <c r="I649" s="162"/>
      <c r="J649" s="163"/>
      <c r="K649" s="164"/>
      <c r="L649" s="165"/>
      <c r="M649" s="166" t="s">
        <v>627</v>
      </c>
      <c r="N649" s="167"/>
      <c r="O649" s="166"/>
      <c r="P649" s="166"/>
      <c r="Q649" s="168"/>
      <c r="V649" s="9"/>
    </row>
    <row r="650" spans="1:22" s="142" customFormat="1" ht="12" customHeight="1" x14ac:dyDescent="0.2">
      <c r="A650" s="158">
        <v>58</v>
      </c>
      <c r="B650" s="159">
        <v>9999</v>
      </c>
      <c r="C650" s="158"/>
      <c r="D650" s="160" t="s">
        <v>1548</v>
      </c>
      <c r="E650" s="161"/>
      <c r="F650" s="160" t="s">
        <v>239</v>
      </c>
      <c r="G650" s="160"/>
      <c r="H650" s="160" t="s">
        <v>1549</v>
      </c>
      <c r="I650" s="162"/>
      <c r="J650" s="163"/>
      <c r="K650" s="164"/>
      <c r="L650" s="165"/>
      <c r="M650" s="166" t="s">
        <v>627</v>
      </c>
      <c r="N650" s="167"/>
      <c r="O650" s="166"/>
      <c r="P650" s="166"/>
      <c r="Q650" s="168"/>
      <c r="V650" s="9"/>
    </row>
    <row r="651" spans="1:22" s="142" customFormat="1" ht="12" customHeight="1" x14ac:dyDescent="0.2">
      <c r="A651" s="158">
        <v>59</v>
      </c>
      <c r="B651" s="159">
        <v>9999</v>
      </c>
      <c r="C651" s="158"/>
      <c r="D651" s="160" t="s">
        <v>1550</v>
      </c>
      <c r="E651" s="161"/>
      <c r="F651" s="160"/>
      <c r="G651" s="160" t="s">
        <v>181</v>
      </c>
      <c r="H651" s="160" t="s">
        <v>1551</v>
      </c>
      <c r="I651" s="162"/>
      <c r="J651" s="163"/>
      <c r="K651" s="164"/>
      <c r="L651" s="165"/>
      <c r="M651" s="166" t="s">
        <v>627</v>
      </c>
      <c r="N651" s="167"/>
      <c r="O651" s="166"/>
      <c r="P651" s="166"/>
      <c r="Q651" s="168"/>
      <c r="V651" s="9"/>
    </row>
    <row r="652" spans="1:22" s="142" customFormat="1" ht="12" customHeight="1" x14ac:dyDescent="0.2">
      <c r="A652" s="158">
        <v>61</v>
      </c>
      <c r="B652" s="159">
        <v>9999</v>
      </c>
      <c r="C652" s="158"/>
      <c r="D652" s="160" t="s">
        <v>1552</v>
      </c>
      <c r="E652" s="161"/>
      <c r="F652" s="160"/>
      <c r="G652" s="160"/>
      <c r="H652" s="160" t="s">
        <v>1553</v>
      </c>
      <c r="I652" s="162"/>
      <c r="J652" s="163"/>
      <c r="K652" s="164"/>
      <c r="L652" s="165"/>
      <c r="M652" s="166" t="s">
        <v>627</v>
      </c>
      <c r="N652" s="167"/>
      <c r="O652" s="166"/>
      <c r="P652" s="166"/>
      <c r="Q652" s="168"/>
      <c r="V652" s="9"/>
    </row>
    <row r="653" spans="1:22" s="142" customFormat="1" ht="12" customHeight="1" x14ac:dyDescent="0.2">
      <c r="A653" s="158">
        <v>62</v>
      </c>
      <c r="B653" s="159">
        <v>9999</v>
      </c>
      <c r="C653" s="158"/>
      <c r="D653" s="160" t="s">
        <v>1554</v>
      </c>
      <c r="E653" s="161"/>
      <c r="F653" s="160" t="s">
        <v>341</v>
      </c>
      <c r="G653" s="160" t="s">
        <v>181</v>
      </c>
      <c r="H653" s="160" t="s">
        <v>1555</v>
      </c>
      <c r="I653" s="162"/>
      <c r="J653" s="163"/>
      <c r="K653" s="164"/>
      <c r="L653" s="165"/>
      <c r="M653" s="166" t="s">
        <v>627</v>
      </c>
      <c r="N653" s="167"/>
      <c r="O653" s="166"/>
      <c r="P653" s="166"/>
      <c r="Q653" s="168"/>
      <c r="V653" s="9"/>
    </row>
    <row r="654" spans="1:22" s="142" customFormat="1" ht="12" customHeight="1" x14ac:dyDescent="0.2">
      <c r="A654" s="158">
        <v>71</v>
      </c>
      <c r="B654" s="159">
        <v>9999</v>
      </c>
      <c r="C654" s="158"/>
      <c r="D654" s="160" t="s">
        <v>1556</v>
      </c>
      <c r="E654" s="161" t="s">
        <v>209</v>
      </c>
      <c r="F654" s="160" t="s">
        <v>161</v>
      </c>
      <c r="G654" s="160" t="s">
        <v>33</v>
      </c>
      <c r="H654" s="160" t="s">
        <v>1557</v>
      </c>
      <c r="I654" s="162"/>
      <c r="J654" s="163"/>
      <c r="K654" s="164"/>
      <c r="L654" s="165"/>
      <c r="M654" s="166" t="s">
        <v>627</v>
      </c>
      <c r="N654" s="167"/>
      <c r="O654" s="166"/>
      <c r="P654" s="166"/>
      <c r="Q654" s="168"/>
      <c r="V654" s="9">
        <v>9</v>
      </c>
    </row>
    <row r="655" spans="1:22" s="142" customFormat="1" ht="12" customHeight="1" x14ac:dyDescent="0.2">
      <c r="A655" s="158">
        <v>72</v>
      </c>
      <c r="B655" s="159">
        <v>9999</v>
      </c>
      <c r="C655" s="158"/>
      <c r="D655" s="160" t="s">
        <v>1558</v>
      </c>
      <c r="E655" s="161" t="s">
        <v>80</v>
      </c>
      <c r="F655" s="160" t="s">
        <v>519</v>
      </c>
      <c r="G655" s="160" t="s">
        <v>181</v>
      </c>
      <c r="H655" s="160" t="s">
        <v>1559</v>
      </c>
      <c r="I655" s="162"/>
      <c r="J655" s="163"/>
      <c r="K655" s="164"/>
      <c r="L655" s="165"/>
      <c r="M655" s="166" t="s">
        <v>627</v>
      </c>
      <c r="N655" s="167"/>
      <c r="O655" s="166"/>
      <c r="P655" s="166"/>
      <c r="Q655" s="168"/>
      <c r="V655" s="9"/>
    </row>
    <row r="656" spans="1:22" s="142" customFormat="1" ht="12" customHeight="1" x14ac:dyDescent="0.2">
      <c r="A656" s="158">
        <v>76</v>
      </c>
      <c r="B656" s="159">
        <v>9999</v>
      </c>
      <c r="C656" s="158"/>
      <c r="D656" s="160" t="s">
        <v>1560</v>
      </c>
      <c r="E656" s="161"/>
      <c r="F656" s="160"/>
      <c r="G656" s="160"/>
      <c r="H656" s="160" t="s">
        <v>1561</v>
      </c>
      <c r="I656" s="162"/>
      <c r="J656" s="163"/>
      <c r="K656" s="164"/>
      <c r="L656" s="165"/>
      <c r="M656" s="166" t="s">
        <v>627</v>
      </c>
      <c r="N656" s="167"/>
      <c r="O656" s="166"/>
      <c r="P656" s="166"/>
      <c r="Q656" s="168"/>
      <c r="V656" s="9"/>
    </row>
    <row r="657" spans="1:22" s="142" customFormat="1" ht="12" customHeight="1" x14ac:dyDescent="0.2">
      <c r="A657" s="158">
        <v>79</v>
      </c>
      <c r="B657" s="159">
        <v>9999</v>
      </c>
      <c r="C657" s="158"/>
      <c r="D657" s="160" t="s">
        <v>1562</v>
      </c>
      <c r="E657" s="161"/>
      <c r="F657" s="160"/>
      <c r="G657" s="160"/>
      <c r="H657" s="160"/>
      <c r="I657" s="162"/>
      <c r="J657" s="163"/>
      <c r="K657" s="164"/>
      <c r="L657" s="165"/>
      <c r="M657" s="166" t="s">
        <v>627</v>
      </c>
      <c r="N657" s="167"/>
      <c r="O657" s="166"/>
      <c r="P657" s="166"/>
      <c r="Q657" s="168"/>
      <c r="V657" s="9"/>
    </row>
    <row r="658" spans="1:22" s="142" customFormat="1" ht="12" customHeight="1" x14ac:dyDescent="0.2">
      <c r="A658" s="158">
        <v>94</v>
      </c>
      <c r="B658" s="159">
        <v>9999</v>
      </c>
      <c r="C658" s="158"/>
      <c r="D658" s="160" t="s">
        <v>1563</v>
      </c>
      <c r="E658" s="161"/>
      <c r="F658" s="160" t="s">
        <v>341</v>
      </c>
      <c r="G658" s="160" t="s">
        <v>181</v>
      </c>
      <c r="H658" s="160"/>
      <c r="I658" s="162"/>
      <c r="J658" s="163"/>
      <c r="K658" s="164"/>
      <c r="L658" s="165"/>
      <c r="M658" s="166" t="s">
        <v>826</v>
      </c>
      <c r="N658" s="167"/>
      <c r="O658" s="166"/>
      <c r="P658" s="166"/>
      <c r="Q658" s="168"/>
      <c r="V658" s="9"/>
    </row>
    <row r="659" spans="1:22" s="142" customFormat="1" ht="12" customHeight="1" x14ac:dyDescent="0.2">
      <c r="A659" s="158">
        <v>95</v>
      </c>
      <c r="B659" s="159">
        <v>9999</v>
      </c>
      <c r="C659" s="158"/>
      <c r="D659" s="160" t="s">
        <v>1564</v>
      </c>
      <c r="E659" s="161"/>
      <c r="F659" s="160" t="s">
        <v>341</v>
      </c>
      <c r="G659" s="160" t="s">
        <v>181</v>
      </c>
      <c r="H659" s="160"/>
      <c r="I659" s="162"/>
      <c r="J659" s="163"/>
      <c r="K659" s="164"/>
      <c r="L659" s="165"/>
      <c r="M659" s="166" t="s">
        <v>826</v>
      </c>
      <c r="N659" s="167"/>
      <c r="O659" s="166"/>
      <c r="P659" s="166"/>
      <c r="Q659" s="168"/>
      <c r="V659" s="9"/>
    </row>
    <row r="660" spans="1:22" s="142" customFormat="1" ht="12" customHeight="1" x14ac:dyDescent="0.2">
      <c r="A660" s="158">
        <v>98</v>
      </c>
      <c r="B660" s="159">
        <v>9999</v>
      </c>
      <c r="C660" s="158"/>
      <c r="D660" s="160" t="s">
        <v>1565</v>
      </c>
      <c r="E660" s="161"/>
      <c r="F660" s="160"/>
      <c r="G660" s="160"/>
      <c r="H660" s="160"/>
      <c r="I660" s="162"/>
      <c r="J660" s="163"/>
      <c r="K660" s="164"/>
      <c r="L660" s="165"/>
      <c r="M660" s="166" t="s">
        <v>627</v>
      </c>
      <c r="N660" s="167"/>
      <c r="O660" s="166"/>
      <c r="P660" s="166"/>
      <c r="Q660" s="168"/>
      <c r="V660" s="9"/>
    </row>
    <row r="661" spans="1:22" s="142" customFormat="1" ht="12" customHeight="1" x14ac:dyDescent="0.2">
      <c r="A661" s="158">
        <v>99</v>
      </c>
      <c r="B661" s="159">
        <v>9999</v>
      </c>
      <c r="C661" s="158"/>
      <c r="D661" s="160" t="s">
        <v>1566</v>
      </c>
      <c r="E661" s="161"/>
      <c r="F661" s="160" t="s">
        <v>32</v>
      </c>
      <c r="G661" s="160" t="s">
        <v>33</v>
      </c>
      <c r="H661" s="160" t="s">
        <v>1567</v>
      </c>
      <c r="I661" s="162"/>
      <c r="J661" s="163"/>
      <c r="K661" s="164"/>
      <c r="L661" s="165"/>
      <c r="M661" s="166" t="s">
        <v>627</v>
      </c>
      <c r="N661" s="167"/>
      <c r="O661" s="166"/>
      <c r="P661" s="166"/>
      <c r="Q661" s="168"/>
      <c r="V661" s="9"/>
    </row>
    <row r="662" spans="1:22" s="142" customFormat="1" ht="12" customHeight="1" x14ac:dyDescent="0.2">
      <c r="A662" s="171">
        <v>102</v>
      </c>
      <c r="B662" s="211">
        <v>9999</v>
      </c>
      <c r="C662" s="171"/>
      <c r="D662" s="172" t="s">
        <v>1568</v>
      </c>
      <c r="E662" s="173"/>
      <c r="F662" s="174" t="s">
        <v>846</v>
      </c>
      <c r="G662" s="174" t="s">
        <v>33</v>
      </c>
      <c r="H662" s="238" t="s">
        <v>1569</v>
      </c>
      <c r="I662" s="162"/>
      <c r="J662" s="163" t="s">
        <v>35</v>
      </c>
      <c r="K662" s="175" t="s">
        <v>35</v>
      </c>
      <c r="L662" s="176" t="str">
        <f>IF(ISNUMBER(I662), I662/150, "")</f>
        <v/>
      </c>
      <c r="M662" s="177" t="s">
        <v>627</v>
      </c>
      <c r="N662" s="178"/>
      <c r="O662" s="179"/>
      <c r="P662" s="179"/>
      <c r="Q662" s="180"/>
      <c r="V662" s="9"/>
    </row>
    <row r="663" spans="1:22" s="142" customFormat="1" ht="12" customHeight="1" x14ac:dyDescent="0.2">
      <c r="A663" s="158">
        <v>107</v>
      </c>
      <c r="B663" s="159">
        <v>9999</v>
      </c>
      <c r="C663" s="158"/>
      <c r="D663" s="160" t="s">
        <v>1570</v>
      </c>
      <c r="E663" s="161"/>
      <c r="F663" s="160" t="s">
        <v>1571</v>
      </c>
      <c r="G663" s="160" t="s">
        <v>81</v>
      </c>
      <c r="H663" s="160" t="s">
        <v>1572</v>
      </c>
      <c r="I663" s="162"/>
      <c r="J663" s="163"/>
      <c r="K663" s="164"/>
      <c r="L663" s="165"/>
      <c r="M663" s="166" t="s">
        <v>627</v>
      </c>
      <c r="N663" s="167"/>
      <c r="O663" s="166"/>
      <c r="P663" s="166"/>
      <c r="Q663" s="168"/>
      <c r="V663" s="9"/>
    </row>
    <row r="664" spans="1:22" s="142" customFormat="1" ht="12" customHeight="1" x14ac:dyDescent="0.2">
      <c r="A664" s="158">
        <v>114</v>
      </c>
      <c r="B664" s="159">
        <v>9999</v>
      </c>
      <c r="C664" s="158"/>
      <c r="D664" s="160" t="s">
        <v>1573</v>
      </c>
      <c r="E664" s="161"/>
      <c r="F664" s="160" t="s">
        <v>1574</v>
      </c>
      <c r="G664" s="160" t="s">
        <v>81</v>
      </c>
      <c r="H664" s="160"/>
      <c r="I664" s="162"/>
      <c r="J664" s="163"/>
      <c r="K664" s="164"/>
      <c r="L664" s="165"/>
      <c r="M664" s="166" t="s">
        <v>627</v>
      </c>
      <c r="N664" s="167"/>
      <c r="O664" s="166"/>
      <c r="P664" s="166"/>
      <c r="Q664" s="168"/>
      <c r="V664" s="96"/>
    </row>
    <row r="665" spans="1:22" s="142" customFormat="1" ht="12" customHeight="1" x14ac:dyDescent="0.2">
      <c r="A665" s="158">
        <v>116</v>
      </c>
      <c r="B665" s="159">
        <v>9999</v>
      </c>
      <c r="C665" s="158"/>
      <c r="D665" s="160" t="s">
        <v>1575</v>
      </c>
      <c r="E665" s="161"/>
      <c r="F665" s="160" t="s">
        <v>136</v>
      </c>
      <c r="G665" s="160" t="s">
        <v>181</v>
      </c>
      <c r="H665" s="160"/>
      <c r="I665" s="162"/>
      <c r="J665" s="163"/>
      <c r="K665" s="164"/>
      <c r="L665" s="165"/>
      <c r="M665" s="166" t="s">
        <v>826</v>
      </c>
      <c r="N665" s="167"/>
      <c r="O665" s="166"/>
      <c r="P665" s="166"/>
      <c r="Q665" s="168"/>
      <c r="V665" s="9"/>
    </row>
    <row r="666" spans="1:22" s="142" customFormat="1" ht="12" customHeight="1" x14ac:dyDescent="0.2">
      <c r="A666" s="158">
        <v>122</v>
      </c>
      <c r="B666" s="159">
        <v>9999</v>
      </c>
      <c r="C666" s="158"/>
      <c r="D666" s="160" t="s">
        <v>1576</v>
      </c>
      <c r="E666" s="161"/>
      <c r="F666" s="160"/>
      <c r="G666" s="160" t="s">
        <v>181</v>
      </c>
      <c r="H666" s="160" t="s">
        <v>1577</v>
      </c>
      <c r="I666" s="162"/>
      <c r="J666" s="163"/>
      <c r="K666" s="164"/>
      <c r="L666" s="165"/>
      <c r="M666" s="166" t="s">
        <v>826</v>
      </c>
      <c r="N666" s="167"/>
      <c r="O666" s="166"/>
      <c r="P666" s="166"/>
      <c r="Q666" s="168"/>
      <c r="V666" s="9"/>
    </row>
    <row r="667" spans="1:22" s="142" customFormat="1" ht="12" customHeight="1" x14ac:dyDescent="0.2">
      <c r="A667" s="158">
        <v>123</v>
      </c>
      <c r="B667" s="159">
        <v>9999</v>
      </c>
      <c r="C667" s="158"/>
      <c r="D667" s="160" t="s">
        <v>1578</v>
      </c>
      <c r="E667" s="161"/>
      <c r="F667" s="160"/>
      <c r="G667" s="160"/>
      <c r="H667" s="160" t="s">
        <v>1579</v>
      </c>
      <c r="I667" s="162"/>
      <c r="J667" s="163"/>
      <c r="K667" s="164"/>
      <c r="L667" s="165"/>
      <c r="M667" s="166" t="s">
        <v>627</v>
      </c>
      <c r="N667" s="167"/>
      <c r="O667" s="166"/>
      <c r="P667" s="166"/>
      <c r="Q667" s="168"/>
      <c r="V667" s="9"/>
    </row>
    <row r="668" spans="1:22" s="142" customFormat="1" ht="12" customHeight="1" x14ac:dyDescent="0.2">
      <c r="A668" s="158">
        <v>124</v>
      </c>
      <c r="B668" s="159">
        <v>9999</v>
      </c>
      <c r="C668" s="158"/>
      <c r="D668" s="160" t="s">
        <v>1580</v>
      </c>
      <c r="E668" s="161"/>
      <c r="F668" s="160" t="s">
        <v>32</v>
      </c>
      <c r="G668" s="160" t="s">
        <v>33</v>
      </c>
      <c r="H668" s="160" t="s">
        <v>1581</v>
      </c>
      <c r="I668" s="162"/>
      <c r="J668" s="163"/>
      <c r="K668" s="164"/>
      <c r="L668" s="165"/>
      <c r="M668" s="166" t="s">
        <v>826</v>
      </c>
      <c r="N668" s="167"/>
      <c r="O668" s="166" t="s">
        <v>1021</v>
      </c>
      <c r="P668" s="166"/>
      <c r="Q668" s="168"/>
      <c r="V668" s="9"/>
    </row>
    <row r="669" spans="1:22" s="142" customFormat="1" ht="12" customHeight="1" x14ac:dyDescent="0.2">
      <c r="A669" s="158">
        <v>126</v>
      </c>
      <c r="B669" s="159">
        <v>9999</v>
      </c>
      <c r="C669" s="158"/>
      <c r="D669" s="160" t="s">
        <v>1582</v>
      </c>
      <c r="E669" s="161"/>
      <c r="F669" s="160" t="s">
        <v>161</v>
      </c>
      <c r="G669" s="160" t="s">
        <v>181</v>
      </c>
      <c r="H669" s="160" t="s">
        <v>1583</v>
      </c>
      <c r="I669" s="162"/>
      <c r="J669" s="163"/>
      <c r="K669" s="164"/>
      <c r="L669" s="165"/>
      <c r="M669" s="166" t="s">
        <v>627</v>
      </c>
      <c r="N669" s="167"/>
      <c r="O669" s="166"/>
      <c r="P669" s="166"/>
      <c r="Q669" s="168"/>
      <c r="V669" s="9"/>
    </row>
    <row r="670" spans="1:22" s="142" customFormat="1" ht="12" customHeight="1" x14ac:dyDescent="0.2">
      <c r="A670" s="158">
        <v>132</v>
      </c>
      <c r="B670" s="159">
        <v>9999</v>
      </c>
      <c r="C670" s="158"/>
      <c r="D670" s="160" t="s">
        <v>1584</v>
      </c>
      <c r="E670" s="161"/>
      <c r="F670" s="160" t="s">
        <v>161</v>
      </c>
      <c r="G670" s="160" t="s">
        <v>24</v>
      </c>
      <c r="H670" s="160" t="s">
        <v>1585</v>
      </c>
      <c r="I670" s="162"/>
      <c r="J670" s="163"/>
      <c r="K670" s="164"/>
      <c r="L670" s="165"/>
      <c r="M670" s="166" t="s">
        <v>826</v>
      </c>
      <c r="N670" s="167"/>
      <c r="O670" s="166" t="s">
        <v>835</v>
      </c>
      <c r="P670" s="166"/>
      <c r="Q670" s="168"/>
      <c r="V670" s="9"/>
    </row>
    <row r="671" spans="1:22" s="142" customFormat="1" ht="12" customHeight="1" x14ac:dyDescent="0.2">
      <c r="A671" s="158">
        <v>134</v>
      </c>
      <c r="B671" s="159">
        <v>9999</v>
      </c>
      <c r="C671" s="158"/>
      <c r="D671" s="160" t="s">
        <v>1586</v>
      </c>
      <c r="E671" s="161"/>
      <c r="F671" s="160"/>
      <c r="G671" s="160" t="s">
        <v>24</v>
      </c>
      <c r="H671" s="160" t="s">
        <v>1587</v>
      </c>
      <c r="I671" s="162"/>
      <c r="J671" s="163"/>
      <c r="K671" s="164"/>
      <c r="L671" s="165"/>
      <c r="M671" s="166" t="s">
        <v>627</v>
      </c>
      <c r="N671" s="167"/>
      <c r="O671" s="166"/>
      <c r="P671" s="166"/>
      <c r="Q671" s="168"/>
      <c r="V671" s="9"/>
    </row>
    <row r="672" spans="1:22" s="142" customFormat="1" ht="12" customHeight="1" x14ac:dyDescent="0.2">
      <c r="A672" s="158">
        <v>135</v>
      </c>
      <c r="B672" s="159">
        <v>9999</v>
      </c>
      <c r="C672" s="158"/>
      <c r="D672" s="160" t="s">
        <v>1588</v>
      </c>
      <c r="E672" s="161"/>
      <c r="F672" s="160"/>
      <c r="G672" s="160" t="s">
        <v>24</v>
      </c>
      <c r="H672" s="160" t="s">
        <v>1589</v>
      </c>
      <c r="I672" s="162"/>
      <c r="J672" s="163"/>
      <c r="K672" s="164"/>
      <c r="L672" s="165"/>
      <c r="M672" s="166" t="s">
        <v>627</v>
      </c>
      <c r="N672" s="167"/>
      <c r="O672" s="166"/>
      <c r="P672" s="166"/>
      <c r="Q672" s="168"/>
      <c r="V672" s="9"/>
    </row>
    <row r="673" spans="1:22" s="142" customFormat="1" ht="12" customHeight="1" x14ac:dyDescent="0.2">
      <c r="A673" s="158">
        <v>137</v>
      </c>
      <c r="B673" s="159">
        <v>9999</v>
      </c>
      <c r="C673" s="158"/>
      <c r="D673" s="160" t="s">
        <v>1590</v>
      </c>
      <c r="E673" s="161"/>
      <c r="F673" s="160"/>
      <c r="G673" s="160" t="s">
        <v>24</v>
      </c>
      <c r="H673" s="160" t="s">
        <v>1591</v>
      </c>
      <c r="I673" s="162"/>
      <c r="J673" s="163"/>
      <c r="K673" s="164"/>
      <c r="L673" s="165"/>
      <c r="M673" s="166" t="s">
        <v>627</v>
      </c>
      <c r="N673" s="167"/>
      <c r="O673" s="166"/>
      <c r="P673" s="166"/>
      <c r="Q673" s="168"/>
      <c r="V673" s="9"/>
    </row>
    <row r="674" spans="1:22" s="142" customFormat="1" ht="12" customHeight="1" x14ac:dyDescent="0.2">
      <c r="A674" s="158">
        <v>141</v>
      </c>
      <c r="B674" s="159">
        <v>9999</v>
      </c>
      <c r="C674" s="158"/>
      <c r="D674" s="160" t="s">
        <v>1592</v>
      </c>
      <c r="E674" s="161"/>
      <c r="F674" s="160" t="s">
        <v>32</v>
      </c>
      <c r="G674" s="160" t="s">
        <v>33</v>
      </c>
      <c r="H674" s="160" t="s">
        <v>1592</v>
      </c>
      <c r="I674" s="162"/>
      <c r="J674" s="163"/>
      <c r="K674" s="164"/>
      <c r="L674" s="165"/>
      <c r="M674" s="166" t="s">
        <v>826</v>
      </c>
      <c r="N674" s="167"/>
      <c r="O674" s="166"/>
      <c r="P674" s="166"/>
      <c r="Q674" s="168"/>
      <c r="V674" s="9"/>
    </row>
    <row r="675" spans="1:22" s="142" customFormat="1" ht="12" customHeight="1" x14ac:dyDescent="0.2">
      <c r="A675" s="158">
        <v>143</v>
      </c>
      <c r="B675" s="159">
        <v>9999</v>
      </c>
      <c r="C675" s="158"/>
      <c r="D675" s="160" t="s">
        <v>1593</v>
      </c>
      <c r="E675" s="161"/>
      <c r="F675" s="160" t="s">
        <v>161</v>
      </c>
      <c r="G675" s="160" t="s">
        <v>81</v>
      </c>
      <c r="H675" s="160" t="s">
        <v>1593</v>
      </c>
      <c r="I675" s="162"/>
      <c r="J675" s="163"/>
      <c r="K675" s="164"/>
      <c r="L675" s="165"/>
      <c r="M675" s="166" t="s">
        <v>627</v>
      </c>
      <c r="N675" s="167"/>
      <c r="O675" s="166"/>
      <c r="P675" s="166"/>
      <c r="Q675" s="168"/>
      <c r="V675" s="9"/>
    </row>
    <row r="676" spans="1:22" s="142" customFormat="1" ht="12" customHeight="1" x14ac:dyDescent="0.2">
      <c r="A676" s="171">
        <v>145</v>
      </c>
      <c r="B676" s="159">
        <v>9999</v>
      </c>
      <c r="C676" s="171"/>
      <c r="D676" s="172" t="s">
        <v>1594</v>
      </c>
      <c r="E676" s="173"/>
      <c r="F676" s="174" t="s">
        <v>161</v>
      </c>
      <c r="G676" s="174" t="s">
        <v>181</v>
      </c>
      <c r="H676" s="172" t="s">
        <v>1595</v>
      </c>
      <c r="I676" s="162"/>
      <c r="J676" s="163" t="s">
        <v>35</v>
      </c>
      <c r="K676" s="164" t="s">
        <v>35</v>
      </c>
      <c r="L676" s="176"/>
      <c r="M676" s="184" t="s">
        <v>627</v>
      </c>
      <c r="N676" s="178"/>
      <c r="O676" s="179"/>
      <c r="P676" s="179"/>
      <c r="Q676" s="180"/>
      <c r="V676" s="9"/>
    </row>
    <row r="677" spans="1:22" s="142" customFormat="1" ht="12" customHeight="1" x14ac:dyDescent="0.2">
      <c r="A677" s="158">
        <v>149</v>
      </c>
      <c r="B677" s="159">
        <v>9999</v>
      </c>
      <c r="C677" s="158"/>
      <c r="D677" s="160" t="s">
        <v>1596</v>
      </c>
      <c r="E677" s="161" t="s">
        <v>543</v>
      </c>
      <c r="F677" s="160" t="s">
        <v>77</v>
      </c>
      <c r="G677" s="160" t="s">
        <v>24</v>
      </c>
      <c r="H677" s="160" t="s">
        <v>1597</v>
      </c>
      <c r="I677" s="162"/>
      <c r="J677" s="163"/>
      <c r="K677" s="164"/>
      <c r="L677" s="165"/>
      <c r="M677" s="166" t="s">
        <v>627</v>
      </c>
      <c r="N677" s="167"/>
      <c r="O677" s="166"/>
      <c r="P677" s="166"/>
      <c r="Q677" s="168"/>
      <c r="V677" s="9"/>
    </row>
    <row r="678" spans="1:22" s="142" customFormat="1" ht="12" customHeight="1" x14ac:dyDescent="0.2">
      <c r="A678" s="158">
        <v>150</v>
      </c>
      <c r="B678" s="159">
        <v>9999</v>
      </c>
      <c r="C678" s="158"/>
      <c r="D678" s="160" t="s">
        <v>1598</v>
      </c>
      <c r="E678" s="161"/>
      <c r="F678" s="160"/>
      <c r="G678" s="160" t="s">
        <v>24</v>
      </c>
      <c r="H678" s="160"/>
      <c r="I678" s="162"/>
      <c r="J678" s="163"/>
      <c r="K678" s="164"/>
      <c r="L678" s="165"/>
      <c r="M678" s="166" t="s">
        <v>627</v>
      </c>
      <c r="N678" s="167"/>
      <c r="O678" s="166"/>
      <c r="P678" s="166"/>
      <c r="Q678" s="168"/>
      <c r="V678" s="9"/>
    </row>
    <row r="679" spans="1:22" s="142" customFormat="1" ht="12" customHeight="1" x14ac:dyDescent="0.2">
      <c r="A679" s="158">
        <v>151</v>
      </c>
      <c r="B679" s="159">
        <v>9999</v>
      </c>
      <c r="C679" s="158"/>
      <c r="D679" s="160" t="s">
        <v>1599</v>
      </c>
      <c r="E679" s="161"/>
      <c r="F679" s="160" t="s">
        <v>32</v>
      </c>
      <c r="G679" s="160" t="s">
        <v>33</v>
      </c>
      <c r="H679" s="160" t="s">
        <v>1599</v>
      </c>
      <c r="I679" s="162"/>
      <c r="J679" s="163"/>
      <c r="K679" s="164"/>
      <c r="L679" s="165"/>
      <c r="M679" s="166" t="s">
        <v>826</v>
      </c>
      <c r="N679" s="167"/>
      <c r="O679" s="166"/>
      <c r="P679" s="166"/>
      <c r="Q679" s="168"/>
      <c r="V679" s="9"/>
    </row>
    <row r="680" spans="1:22" s="142" customFormat="1" ht="12" customHeight="1" x14ac:dyDescent="0.2">
      <c r="A680" s="158">
        <v>153</v>
      </c>
      <c r="B680" s="159">
        <v>9999</v>
      </c>
      <c r="C680" s="158"/>
      <c r="D680" s="160" t="s">
        <v>1600</v>
      </c>
      <c r="E680" s="161"/>
      <c r="F680" s="160"/>
      <c r="G680" s="160" t="s">
        <v>181</v>
      </c>
      <c r="H680" s="160" t="s">
        <v>1601</v>
      </c>
      <c r="I680" s="162"/>
      <c r="J680" s="163"/>
      <c r="K680" s="164"/>
      <c r="L680" s="165"/>
      <c r="M680" s="166" t="s">
        <v>627</v>
      </c>
      <c r="N680" s="167"/>
      <c r="O680" s="166"/>
      <c r="P680" s="166"/>
      <c r="Q680" s="168"/>
      <c r="V680" s="9"/>
    </row>
    <row r="681" spans="1:22" s="142" customFormat="1" ht="12" customHeight="1" x14ac:dyDescent="0.2">
      <c r="A681" s="158">
        <v>163</v>
      </c>
      <c r="B681" s="159">
        <v>9999</v>
      </c>
      <c r="C681" s="158"/>
      <c r="D681" s="160" t="s">
        <v>1602</v>
      </c>
      <c r="E681" s="161"/>
      <c r="F681" s="160" t="s">
        <v>161</v>
      </c>
      <c r="G681" s="160" t="s">
        <v>181</v>
      </c>
      <c r="H681" s="160" t="s">
        <v>1603</v>
      </c>
      <c r="I681" s="162"/>
      <c r="J681" s="163"/>
      <c r="K681" s="164"/>
      <c r="L681" s="165"/>
      <c r="M681" s="166" t="s">
        <v>627</v>
      </c>
      <c r="N681" s="167"/>
      <c r="O681" s="166"/>
      <c r="P681" s="166"/>
      <c r="Q681" s="168"/>
      <c r="V681" s="96"/>
    </row>
    <row r="682" spans="1:22" s="142" customFormat="1" ht="12" customHeight="1" x14ac:dyDescent="0.2">
      <c r="A682" s="171">
        <v>169</v>
      </c>
      <c r="B682" s="159">
        <v>9999</v>
      </c>
      <c r="C682" s="171"/>
      <c r="D682" s="172" t="s">
        <v>1604</v>
      </c>
      <c r="E682" s="173"/>
      <c r="F682" s="160" t="s">
        <v>161</v>
      </c>
      <c r="G682" s="174" t="s">
        <v>251</v>
      </c>
      <c r="H682" s="172" t="s">
        <v>1605</v>
      </c>
      <c r="I682" s="162"/>
      <c r="J682" s="163" t="s">
        <v>35</v>
      </c>
      <c r="K682" s="164" t="s">
        <v>35</v>
      </c>
      <c r="L682" s="176"/>
      <c r="M682" s="184" t="s">
        <v>627</v>
      </c>
      <c r="N682" s="178"/>
      <c r="O682" s="179"/>
      <c r="P682" s="179"/>
      <c r="Q682" s="180"/>
      <c r="V682" s="9"/>
    </row>
    <row r="683" spans="1:22" s="142" customFormat="1" ht="12" customHeight="1" x14ac:dyDescent="0.2">
      <c r="A683" s="158">
        <v>182</v>
      </c>
      <c r="B683" s="159">
        <v>9999</v>
      </c>
      <c r="C683" s="158"/>
      <c r="D683" s="160" t="s">
        <v>1606</v>
      </c>
      <c r="E683" s="161" t="s">
        <v>80</v>
      </c>
      <c r="F683" s="160"/>
      <c r="G683" s="160" t="s">
        <v>181</v>
      </c>
      <c r="H683" s="160" t="s">
        <v>1607</v>
      </c>
      <c r="I683" s="162"/>
      <c r="J683" s="163"/>
      <c r="K683" s="164"/>
      <c r="L683" s="165"/>
      <c r="M683" s="166" t="s">
        <v>627</v>
      </c>
      <c r="N683" s="167"/>
      <c r="O683" s="166"/>
      <c r="P683" s="166"/>
      <c r="Q683" s="168"/>
      <c r="V683" s="9"/>
    </row>
    <row r="684" spans="1:22" s="142" customFormat="1" ht="12" customHeight="1" x14ac:dyDescent="0.2">
      <c r="A684" s="158">
        <v>188</v>
      </c>
      <c r="B684" s="159">
        <v>9999</v>
      </c>
      <c r="C684" s="158"/>
      <c r="D684" s="160" t="s">
        <v>1608</v>
      </c>
      <c r="E684" s="161"/>
      <c r="F684" s="160" t="s">
        <v>66</v>
      </c>
      <c r="G684" s="160" t="s">
        <v>81</v>
      </c>
      <c r="H684" s="160" t="s">
        <v>1609</v>
      </c>
      <c r="I684" s="162"/>
      <c r="J684" s="163"/>
      <c r="K684" s="164"/>
      <c r="L684" s="165"/>
      <c r="M684" s="166" t="s">
        <v>627</v>
      </c>
      <c r="N684" s="167"/>
      <c r="O684" s="166"/>
      <c r="P684" s="166"/>
      <c r="Q684" s="168"/>
      <c r="V684" s="9"/>
    </row>
    <row r="685" spans="1:22" s="142" customFormat="1" ht="12" customHeight="1" x14ac:dyDescent="0.2">
      <c r="A685" s="158">
        <v>197</v>
      </c>
      <c r="B685" s="159">
        <v>9999</v>
      </c>
      <c r="C685" s="158"/>
      <c r="D685" s="160" t="s">
        <v>1610</v>
      </c>
      <c r="E685" s="161" t="s">
        <v>543</v>
      </c>
      <c r="F685" s="160" t="s">
        <v>32</v>
      </c>
      <c r="G685" s="160" t="s">
        <v>33</v>
      </c>
      <c r="H685" s="160"/>
      <c r="I685" s="162"/>
      <c r="J685" s="163"/>
      <c r="K685" s="164"/>
      <c r="L685" s="165"/>
      <c r="M685" s="166" t="s">
        <v>627</v>
      </c>
      <c r="N685" s="167"/>
      <c r="O685" s="166"/>
      <c r="P685" s="166"/>
      <c r="Q685" s="168"/>
      <c r="V685" s="9"/>
    </row>
    <row r="686" spans="1:22" s="142" customFormat="1" ht="12" customHeight="1" x14ac:dyDescent="0.2">
      <c r="A686" s="158">
        <v>207</v>
      </c>
      <c r="B686" s="159">
        <v>9999</v>
      </c>
      <c r="C686" s="158"/>
      <c r="D686" s="160" t="s">
        <v>1611</v>
      </c>
      <c r="E686" s="161"/>
      <c r="F686" s="160" t="s">
        <v>66</v>
      </c>
      <c r="G686" s="160" t="s">
        <v>81</v>
      </c>
      <c r="H686" s="160" t="s">
        <v>1612</v>
      </c>
      <c r="I686" s="162"/>
      <c r="J686" s="163"/>
      <c r="K686" s="164"/>
      <c r="L686" s="165"/>
      <c r="M686" s="166" t="s">
        <v>627</v>
      </c>
      <c r="N686" s="167"/>
      <c r="O686" s="166"/>
      <c r="P686" s="166"/>
      <c r="Q686" s="168"/>
      <c r="V686" s="9"/>
    </row>
    <row r="687" spans="1:22" s="142" customFormat="1" ht="12" customHeight="1" x14ac:dyDescent="0.2">
      <c r="A687" s="158">
        <v>210</v>
      </c>
      <c r="B687" s="159">
        <v>9999</v>
      </c>
      <c r="C687" s="158"/>
      <c r="D687" s="160" t="s">
        <v>1613</v>
      </c>
      <c r="E687" s="161"/>
      <c r="F687" s="160" t="s">
        <v>66</v>
      </c>
      <c r="G687" s="160" t="s">
        <v>81</v>
      </c>
      <c r="H687" s="160" t="s">
        <v>1614</v>
      </c>
      <c r="I687" s="162"/>
      <c r="J687" s="163"/>
      <c r="K687" s="164"/>
      <c r="L687" s="165"/>
      <c r="M687" s="166" t="s">
        <v>627</v>
      </c>
      <c r="N687" s="167"/>
      <c r="O687" s="166"/>
      <c r="P687" s="166"/>
      <c r="Q687" s="168"/>
      <c r="V687" s="9"/>
    </row>
    <row r="688" spans="1:22" s="142" customFormat="1" ht="12" customHeight="1" x14ac:dyDescent="0.2">
      <c r="A688" s="158">
        <v>212</v>
      </c>
      <c r="B688" s="159">
        <v>9999</v>
      </c>
      <c r="C688" s="158"/>
      <c r="D688" s="160" t="s">
        <v>1615</v>
      </c>
      <c r="E688" s="161"/>
      <c r="F688" s="160" t="s">
        <v>1616</v>
      </c>
      <c r="G688" s="160" t="s">
        <v>81</v>
      </c>
      <c r="H688" s="160"/>
      <c r="I688" s="162"/>
      <c r="J688" s="163"/>
      <c r="K688" s="164"/>
      <c r="L688" s="165"/>
      <c r="M688" s="166" t="s">
        <v>627</v>
      </c>
      <c r="N688" s="167"/>
      <c r="O688" s="166"/>
      <c r="P688" s="166"/>
      <c r="Q688" s="168"/>
      <c r="V688" s="9"/>
    </row>
    <row r="689" spans="1:22" s="142" customFormat="1" ht="12" customHeight="1" x14ac:dyDescent="0.2">
      <c r="A689" s="158">
        <v>219</v>
      </c>
      <c r="B689" s="159">
        <v>9999</v>
      </c>
      <c r="C689" s="158"/>
      <c r="D689" s="160" t="s">
        <v>1617</v>
      </c>
      <c r="E689" s="161"/>
      <c r="F689" s="160" t="s">
        <v>161</v>
      </c>
      <c r="G689" s="160" t="s">
        <v>24</v>
      </c>
      <c r="H689" s="160"/>
      <c r="I689" s="162"/>
      <c r="J689" s="163"/>
      <c r="K689" s="164"/>
      <c r="L689" s="165"/>
      <c r="M689" s="166" t="s">
        <v>627</v>
      </c>
      <c r="N689" s="167"/>
      <c r="O689" s="166"/>
      <c r="P689" s="166"/>
      <c r="Q689" s="168"/>
      <c r="V689" s="9"/>
    </row>
    <row r="690" spans="1:22" s="142" customFormat="1" ht="12" customHeight="1" x14ac:dyDescent="0.2">
      <c r="A690" s="158">
        <v>220</v>
      </c>
      <c r="B690" s="159">
        <v>9999</v>
      </c>
      <c r="C690" s="158"/>
      <c r="D690" s="160" t="s">
        <v>1618</v>
      </c>
      <c r="E690" s="161" t="s">
        <v>170</v>
      </c>
      <c r="F690" s="160" t="s">
        <v>95</v>
      </c>
      <c r="G690" s="160" t="s">
        <v>33</v>
      </c>
      <c r="H690" s="160"/>
      <c r="I690" s="162"/>
      <c r="J690" s="163"/>
      <c r="K690" s="164"/>
      <c r="L690" s="165"/>
      <c r="M690" s="166" t="s">
        <v>627</v>
      </c>
      <c r="N690" s="167"/>
      <c r="O690" s="166"/>
      <c r="P690" s="166"/>
      <c r="Q690" s="168"/>
      <c r="V690" s="9"/>
    </row>
    <row r="691" spans="1:22" s="142" customFormat="1" ht="12" customHeight="1" x14ac:dyDescent="0.2">
      <c r="A691" s="158">
        <v>222</v>
      </c>
      <c r="B691" s="159">
        <v>9999</v>
      </c>
      <c r="C691" s="158"/>
      <c r="D691" s="160" t="s">
        <v>1619</v>
      </c>
      <c r="E691" s="161"/>
      <c r="F691" s="160" t="s">
        <v>95</v>
      </c>
      <c r="G691" s="160" t="s">
        <v>24</v>
      </c>
      <c r="H691" s="160"/>
      <c r="I691" s="162"/>
      <c r="J691" s="163"/>
      <c r="K691" s="164"/>
      <c r="L691" s="165"/>
      <c r="M691" s="166" t="s">
        <v>627</v>
      </c>
      <c r="N691" s="167"/>
      <c r="O691" s="166"/>
      <c r="P691" s="166"/>
      <c r="Q691" s="168"/>
      <c r="V691" s="9"/>
    </row>
    <row r="692" spans="1:22" s="142" customFormat="1" ht="12" customHeight="1" x14ac:dyDescent="0.2">
      <c r="A692" s="158">
        <v>226</v>
      </c>
      <c r="B692" s="159">
        <v>9999</v>
      </c>
      <c r="C692" s="158"/>
      <c r="D692" s="160" t="s">
        <v>1620</v>
      </c>
      <c r="E692" s="161" t="s">
        <v>66</v>
      </c>
      <c r="F692" s="160" t="s">
        <v>1616</v>
      </c>
      <c r="G692" s="160" t="s">
        <v>81</v>
      </c>
      <c r="H692" s="160"/>
      <c r="I692" s="162"/>
      <c r="J692" s="163"/>
      <c r="K692" s="164"/>
      <c r="L692" s="165"/>
      <c r="M692" s="166" t="s">
        <v>627</v>
      </c>
      <c r="N692" s="167"/>
      <c r="O692" s="166"/>
      <c r="P692" s="166"/>
      <c r="Q692" s="168"/>
      <c r="V692" s="9"/>
    </row>
    <row r="693" spans="1:22" s="142" customFormat="1" ht="12" customHeight="1" x14ac:dyDescent="0.2">
      <c r="A693" s="158">
        <v>232</v>
      </c>
      <c r="B693" s="159">
        <v>9999</v>
      </c>
      <c r="C693" s="158"/>
      <c r="D693" s="160" t="s">
        <v>1621</v>
      </c>
      <c r="E693" s="161" t="s">
        <v>221</v>
      </c>
      <c r="F693" s="160" t="s">
        <v>1622</v>
      </c>
      <c r="G693" s="160" t="s">
        <v>81</v>
      </c>
      <c r="H693" s="160" t="s">
        <v>1623</v>
      </c>
      <c r="I693" s="162"/>
      <c r="J693" s="163"/>
      <c r="K693" s="164"/>
      <c r="L693" s="165"/>
      <c r="M693" s="166" t="s">
        <v>627</v>
      </c>
      <c r="N693" s="167"/>
      <c r="O693" s="166"/>
      <c r="P693" s="166"/>
      <c r="Q693" s="168"/>
      <c r="V693" s="9"/>
    </row>
    <row r="694" spans="1:22" s="142" customFormat="1" ht="12" customHeight="1" x14ac:dyDescent="0.2">
      <c r="A694" s="158">
        <v>248</v>
      </c>
      <c r="B694" s="159">
        <v>9999</v>
      </c>
      <c r="C694" s="158"/>
      <c r="D694" s="160" t="s">
        <v>1624</v>
      </c>
      <c r="E694" s="161"/>
      <c r="F694" s="160"/>
      <c r="G694" s="160"/>
      <c r="H694" s="160" t="s">
        <v>1625</v>
      </c>
      <c r="I694" s="162"/>
      <c r="J694" s="163"/>
      <c r="K694" s="164"/>
      <c r="L694" s="165"/>
      <c r="M694" s="166" t="s">
        <v>627</v>
      </c>
      <c r="N694" s="167"/>
      <c r="O694" s="166"/>
      <c r="P694" s="166"/>
      <c r="Q694" s="168"/>
      <c r="V694" s="9"/>
    </row>
    <row r="695" spans="1:22" s="142" customFormat="1" ht="12" customHeight="1" x14ac:dyDescent="0.2">
      <c r="A695" s="171">
        <v>250</v>
      </c>
      <c r="B695" s="159">
        <v>9999</v>
      </c>
      <c r="C695" s="171"/>
      <c r="D695" s="172" t="s">
        <v>1626</v>
      </c>
      <c r="E695" s="173"/>
      <c r="F695" s="160"/>
      <c r="G695" s="174" t="s">
        <v>251</v>
      </c>
      <c r="H695" s="172" t="s">
        <v>1627</v>
      </c>
      <c r="I695" s="162"/>
      <c r="J695" s="163" t="s">
        <v>35</v>
      </c>
      <c r="K695" s="164" t="s">
        <v>35</v>
      </c>
      <c r="L695" s="176"/>
      <c r="M695" s="177" t="s">
        <v>627</v>
      </c>
      <c r="N695" s="178"/>
      <c r="O695" s="179"/>
      <c r="P695" s="179"/>
      <c r="Q695" s="180"/>
      <c r="V695" s="9"/>
    </row>
    <row r="696" spans="1:22" s="142" customFormat="1" ht="12" customHeight="1" x14ac:dyDescent="0.2">
      <c r="A696" s="158">
        <v>255</v>
      </c>
      <c r="B696" s="159">
        <v>9999</v>
      </c>
      <c r="C696" s="158"/>
      <c r="D696" s="160" t="s">
        <v>1628</v>
      </c>
      <c r="E696" s="161"/>
      <c r="F696" s="160" t="s">
        <v>1616</v>
      </c>
      <c r="G696" s="160" t="s">
        <v>81</v>
      </c>
      <c r="H696" s="160"/>
      <c r="I696" s="162"/>
      <c r="J696" s="163"/>
      <c r="K696" s="164"/>
      <c r="L696" s="165"/>
      <c r="M696" s="166" t="s">
        <v>627</v>
      </c>
      <c r="N696" s="167"/>
      <c r="O696" s="166"/>
      <c r="P696" s="166"/>
      <c r="Q696" s="168"/>
      <c r="V696" s="9"/>
    </row>
    <row r="697" spans="1:22" s="142" customFormat="1" ht="12" customHeight="1" x14ac:dyDescent="0.2">
      <c r="A697" s="158">
        <v>261</v>
      </c>
      <c r="B697" s="159">
        <v>9999</v>
      </c>
      <c r="C697" s="158"/>
      <c r="D697" s="160" t="s">
        <v>1629</v>
      </c>
      <c r="E697" s="161"/>
      <c r="F697" s="160" t="s">
        <v>32</v>
      </c>
      <c r="G697" s="160" t="s">
        <v>24</v>
      </c>
      <c r="H697" s="160" t="s">
        <v>1630</v>
      </c>
      <c r="I697" s="162"/>
      <c r="J697" s="163"/>
      <c r="K697" s="164"/>
      <c r="L697" s="165"/>
      <c r="M697" s="166" t="s">
        <v>826</v>
      </c>
      <c r="N697" s="167"/>
      <c r="O697" s="166" t="s">
        <v>953</v>
      </c>
      <c r="P697" s="166"/>
      <c r="Q697" s="168"/>
      <c r="V697" s="9"/>
    </row>
    <row r="698" spans="1:22" s="142" customFormat="1" ht="12" customHeight="1" x14ac:dyDescent="0.2">
      <c r="A698" s="158">
        <v>264</v>
      </c>
      <c r="B698" s="159">
        <v>9999</v>
      </c>
      <c r="C698" s="158"/>
      <c r="D698" s="160" t="s">
        <v>1631</v>
      </c>
      <c r="E698" s="161" t="s">
        <v>1141</v>
      </c>
      <c r="F698" s="160" t="s">
        <v>320</v>
      </c>
      <c r="G698" s="160" t="s">
        <v>388</v>
      </c>
      <c r="H698" s="160" t="s">
        <v>1632</v>
      </c>
      <c r="I698" s="162"/>
      <c r="J698" s="163" t="s">
        <v>124</v>
      </c>
      <c r="K698" s="164" t="s">
        <v>35</v>
      </c>
      <c r="L698" s="165"/>
      <c r="M698" s="166" t="s">
        <v>627</v>
      </c>
      <c r="N698" s="167"/>
      <c r="O698" s="166"/>
      <c r="P698" s="166"/>
      <c r="Q698" s="168"/>
      <c r="V698" s="9"/>
    </row>
    <row r="699" spans="1:22" s="142" customFormat="1" ht="12" customHeight="1" x14ac:dyDescent="0.2">
      <c r="A699" s="158">
        <v>267</v>
      </c>
      <c r="B699" s="159">
        <v>9999</v>
      </c>
      <c r="C699" s="158"/>
      <c r="D699" s="160" t="s">
        <v>1633</v>
      </c>
      <c r="E699" s="161" t="s">
        <v>1141</v>
      </c>
      <c r="F699" s="160" t="s">
        <v>320</v>
      </c>
      <c r="G699" s="160" t="s">
        <v>388</v>
      </c>
      <c r="H699" s="160" t="s">
        <v>1634</v>
      </c>
      <c r="I699" s="162"/>
      <c r="J699" s="163"/>
      <c r="K699" s="164" t="s">
        <v>1316</v>
      </c>
      <c r="L699" s="165"/>
      <c r="M699" s="166" t="s">
        <v>627</v>
      </c>
      <c r="N699" s="167"/>
      <c r="O699" s="166"/>
      <c r="P699" s="166"/>
      <c r="Q699" s="168"/>
      <c r="V699" s="9"/>
    </row>
    <row r="700" spans="1:22" s="142" customFormat="1" ht="12" customHeight="1" x14ac:dyDescent="0.2">
      <c r="A700" s="158">
        <v>276</v>
      </c>
      <c r="B700" s="159">
        <v>9999</v>
      </c>
      <c r="C700" s="158"/>
      <c r="D700" s="160" t="s">
        <v>1635</v>
      </c>
      <c r="E700" s="161"/>
      <c r="F700" s="160" t="s">
        <v>1636</v>
      </c>
      <c r="G700" s="160" t="s">
        <v>24</v>
      </c>
      <c r="H700" s="160" t="s">
        <v>1637</v>
      </c>
      <c r="I700" s="162"/>
      <c r="J700" s="163"/>
      <c r="K700" s="164"/>
      <c r="L700" s="165"/>
      <c r="M700" s="166" t="s">
        <v>826</v>
      </c>
      <c r="N700" s="167"/>
      <c r="O700" s="166" t="s">
        <v>1129</v>
      </c>
      <c r="P700" s="166"/>
      <c r="Q700" s="168"/>
      <c r="V700" s="96"/>
    </row>
    <row r="701" spans="1:22" s="142" customFormat="1" ht="12" customHeight="1" x14ac:dyDescent="0.2">
      <c r="A701" s="158">
        <v>280</v>
      </c>
      <c r="B701" s="159">
        <v>9999</v>
      </c>
      <c r="C701" s="158"/>
      <c r="D701" s="160" t="s">
        <v>1638</v>
      </c>
      <c r="E701" s="161"/>
      <c r="F701" s="160" t="s">
        <v>161</v>
      </c>
      <c r="G701" s="160"/>
      <c r="H701" s="160" t="s">
        <v>1639</v>
      </c>
      <c r="I701" s="162"/>
      <c r="J701" s="163"/>
      <c r="K701" s="164"/>
      <c r="L701" s="165"/>
      <c r="M701" s="166" t="s">
        <v>826</v>
      </c>
      <c r="N701" s="167"/>
      <c r="O701" s="166"/>
      <c r="P701" s="166"/>
      <c r="Q701" s="168"/>
      <c r="V701" s="9"/>
    </row>
    <row r="702" spans="1:22" s="142" customFormat="1" ht="12" customHeight="1" x14ac:dyDescent="0.2">
      <c r="A702" s="171">
        <v>281</v>
      </c>
      <c r="B702" s="159">
        <v>9999</v>
      </c>
      <c r="C702" s="171"/>
      <c r="D702" s="172" t="s">
        <v>1640</v>
      </c>
      <c r="E702" s="173" t="s">
        <v>201</v>
      </c>
      <c r="F702" s="174" t="s">
        <v>161</v>
      </c>
      <c r="G702" s="174" t="s">
        <v>181</v>
      </c>
      <c r="H702" s="172" t="s">
        <v>1641</v>
      </c>
      <c r="I702" s="162"/>
      <c r="J702" s="163" t="s">
        <v>35</v>
      </c>
      <c r="K702" s="164" t="s">
        <v>35</v>
      </c>
      <c r="L702" s="176"/>
      <c r="M702" s="184" t="s">
        <v>627</v>
      </c>
      <c r="N702" s="239"/>
      <c r="O702" s="179"/>
      <c r="P702" s="179"/>
      <c r="Q702" s="180"/>
      <c r="V702" s="9"/>
    </row>
    <row r="703" spans="1:22" s="142" customFormat="1" ht="12" customHeight="1" x14ac:dyDescent="0.2">
      <c r="A703" s="158">
        <v>327</v>
      </c>
      <c r="B703" s="159">
        <v>9999</v>
      </c>
      <c r="C703" s="158"/>
      <c r="D703" s="160" t="s">
        <v>1642</v>
      </c>
      <c r="E703" s="161"/>
      <c r="F703" s="160" t="s">
        <v>1643</v>
      </c>
      <c r="G703" s="160"/>
      <c r="H703" s="160" t="s">
        <v>1644</v>
      </c>
      <c r="I703" s="162"/>
      <c r="J703" s="163"/>
      <c r="K703" s="164"/>
      <c r="L703" s="165"/>
      <c r="M703" s="166" t="s">
        <v>627</v>
      </c>
      <c r="N703" s="167"/>
      <c r="O703" s="166"/>
      <c r="P703" s="166"/>
      <c r="Q703" s="168"/>
      <c r="V703" s="9"/>
    </row>
    <row r="704" spans="1:22" s="142" customFormat="1" ht="12" customHeight="1" x14ac:dyDescent="0.2">
      <c r="A704" s="158">
        <v>333</v>
      </c>
      <c r="B704" s="159">
        <v>9999</v>
      </c>
      <c r="C704" s="158"/>
      <c r="D704" s="160" t="s">
        <v>1645</v>
      </c>
      <c r="E704" s="161"/>
      <c r="F704" s="160" t="s">
        <v>161</v>
      </c>
      <c r="G704" s="160"/>
      <c r="H704" s="160"/>
      <c r="I704" s="162"/>
      <c r="J704" s="163"/>
      <c r="K704" s="164"/>
      <c r="L704" s="165"/>
      <c r="M704" s="166" t="s">
        <v>627</v>
      </c>
      <c r="N704" s="167"/>
      <c r="O704" s="166"/>
      <c r="P704" s="166"/>
      <c r="Q704" s="168"/>
      <c r="V704" s="9"/>
    </row>
    <row r="705" spans="1:22" s="142" customFormat="1" ht="12" customHeight="1" x14ac:dyDescent="0.2">
      <c r="A705" s="158">
        <v>371</v>
      </c>
      <c r="B705" s="159">
        <v>9999</v>
      </c>
      <c r="C705" s="158"/>
      <c r="D705" s="160" t="s">
        <v>1646</v>
      </c>
      <c r="E705" s="161" t="s">
        <v>121</v>
      </c>
      <c r="F705" s="160" t="s">
        <v>239</v>
      </c>
      <c r="G705" s="160" t="s">
        <v>24</v>
      </c>
      <c r="H705" s="160" t="s">
        <v>1647</v>
      </c>
      <c r="I705" s="162"/>
      <c r="J705" s="163"/>
      <c r="K705" s="164"/>
      <c r="L705" s="165"/>
      <c r="M705" s="166" t="s">
        <v>826</v>
      </c>
      <c r="N705" s="167"/>
      <c r="O705" s="166"/>
      <c r="P705" s="166"/>
      <c r="Q705" s="168"/>
      <c r="V705" s="9"/>
    </row>
    <row r="706" spans="1:22" s="142" customFormat="1" ht="12" customHeight="1" x14ac:dyDescent="0.2">
      <c r="A706" s="171">
        <v>379</v>
      </c>
      <c r="B706" s="159">
        <v>9999</v>
      </c>
      <c r="C706" s="171"/>
      <c r="D706" s="188" t="s">
        <v>1648</v>
      </c>
      <c r="E706" s="189" t="s">
        <v>121</v>
      </c>
      <c r="F706" s="174" t="s">
        <v>161</v>
      </c>
      <c r="G706" s="174" t="s">
        <v>24</v>
      </c>
      <c r="H706" s="172" t="s">
        <v>1649</v>
      </c>
      <c r="I706" s="162"/>
      <c r="J706" s="163" t="s">
        <v>35</v>
      </c>
      <c r="K706" s="164" t="s">
        <v>35</v>
      </c>
      <c r="L706" s="194"/>
      <c r="M706" s="184" t="s">
        <v>826</v>
      </c>
      <c r="N706" s="240"/>
      <c r="O706" s="241"/>
      <c r="P706" s="179"/>
      <c r="Q706" s="180"/>
      <c r="V706" s="9"/>
    </row>
    <row r="707" spans="1:22" s="142" customFormat="1" ht="12" customHeight="1" x14ac:dyDescent="0.2">
      <c r="A707" s="158">
        <v>387</v>
      </c>
      <c r="B707" s="159">
        <v>9999</v>
      </c>
      <c r="C707" s="158"/>
      <c r="D707" s="160" t="s">
        <v>1650</v>
      </c>
      <c r="E707" s="161"/>
      <c r="F707" s="160" t="s">
        <v>148</v>
      </c>
      <c r="G707" s="160"/>
      <c r="H707" s="160" t="s">
        <v>1651</v>
      </c>
      <c r="I707" s="162"/>
      <c r="J707" s="163"/>
      <c r="K707" s="164"/>
      <c r="L707" s="165"/>
      <c r="M707" s="166" t="s">
        <v>627</v>
      </c>
      <c r="N707" s="167"/>
      <c r="O707" s="166"/>
      <c r="P707" s="166"/>
      <c r="Q707" s="168"/>
      <c r="V707" s="9"/>
    </row>
    <row r="708" spans="1:22" s="142" customFormat="1" ht="12" customHeight="1" x14ac:dyDescent="0.2">
      <c r="A708" s="171">
        <v>392</v>
      </c>
      <c r="B708" s="211">
        <v>9999</v>
      </c>
      <c r="C708" s="171"/>
      <c r="D708" s="172" t="s">
        <v>1652</v>
      </c>
      <c r="E708" s="173"/>
      <c r="F708" s="174" t="s">
        <v>1653</v>
      </c>
      <c r="G708" s="202" t="s">
        <v>48</v>
      </c>
      <c r="H708" s="172" t="s">
        <v>1654</v>
      </c>
      <c r="I708" s="162"/>
      <c r="J708" s="163" t="s">
        <v>35</v>
      </c>
      <c r="K708" s="164" t="s">
        <v>35</v>
      </c>
      <c r="L708" s="176" t="str">
        <f>IF(ISNUMBER(I708), I708/150, "")</f>
        <v/>
      </c>
      <c r="M708" s="177" t="s">
        <v>627</v>
      </c>
      <c r="N708" s="178"/>
      <c r="O708" s="179"/>
      <c r="P708" s="179"/>
      <c r="Q708" s="180"/>
      <c r="V708" s="9"/>
    </row>
    <row r="709" spans="1:22" s="142" customFormat="1" ht="12" customHeight="1" x14ac:dyDescent="0.2">
      <c r="A709" s="158">
        <v>404</v>
      </c>
      <c r="B709" s="159">
        <v>9999</v>
      </c>
      <c r="C709" s="158"/>
      <c r="D709" s="160" t="s">
        <v>1655</v>
      </c>
      <c r="E709" s="161" t="s">
        <v>209</v>
      </c>
      <c r="F709" s="160" t="s">
        <v>1656</v>
      </c>
      <c r="G709" s="160" t="s">
        <v>24</v>
      </c>
      <c r="H709" s="160"/>
      <c r="I709" s="162"/>
      <c r="J709" s="163"/>
      <c r="K709" s="164"/>
      <c r="L709" s="165"/>
      <c r="M709" s="166" t="s">
        <v>627</v>
      </c>
      <c r="N709" s="167"/>
      <c r="O709" s="166"/>
      <c r="P709" s="166"/>
      <c r="Q709" s="168"/>
      <c r="V709" s="9"/>
    </row>
    <row r="710" spans="1:22" s="142" customFormat="1" ht="12" customHeight="1" x14ac:dyDescent="0.2">
      <c r="A710" s="171">
        <v>406</v>
      </c>
      <c r="B710" s="159">
        <v>9999</v>
      </c>
      <c r="C710" s="171"/>
      <c r="D710" s="172" t="s">
        <v>1657</v>
      </c>
      <c r="E710" s="189" t="s">
        <v>209</v>
      </c>
      <c r="F710" s="174" t="s">
        <v>39</v>
      </c>
      <c r="G710" s="174" t="s">
        <v>24</v>
      </c>
      <c r="H710" s="172" t="s">
        <v>1658</v>
      </c>
      <c r="I710" s="162">
        <f>200000+100000</f>
        <v>300000</v>
      </c>
      <c r="J710" s="163" t="s">
        <v>124</v>
      </c>
      <c r="K710" s="175" t="s">
        <v>103</v>
      </c>
      <c r="L710" s="176">
        <f>I710/150</f>
        <v>2000</v>
      </c>
      <c r="M710" s="184" t="s">
        <v>627</v>
      </c>
      <c r="N710" s="185"/>
      <c r="O710" s="177"/>
      <c r="P710" s="179"/>
      <c r="Q710" s="180"/>
      <c r="V710" s="9"/>
    </row>
    <row r="711" spans="1:22" s="142" customFormat="1" ht="12" customHeight="1" x14ac:dyDescent="0.2">
      <c r="A711" s="171">
        <v>409</v>
      </c>
      <c r="B711" s="159">
        <v>9999</v>
      </c>
      <c r="C711" s="171"/>
      <c r="D711" s="172" t="s">
        <v>1659</v>
      </c>
      <c r="E711" s="189" t="s">
        <v>209</v>
      </c>
      <c r="F711" s="174" t="s">
        <v>604</v>
      </c>
      <c r="G711" s="174" t="s">
        <v>24</v>
      </c>
      <c r="H711" s="172" t="s">
        <v>1660</v>
      </c>
      <c r="I711" s="162">
        <v>15000</v>
      </c>
      <c r="J711" s="163" t="s">
        <v>124</v>
      </c>
      <c r="K711" s="175" t="s">
        <v>1661</v>
      </c>
      <c r="L711" s="176">
        <f>I711/150</f>
        <v>100</v>
      </c>
      <c r="M711" s="184" t="s">
        <v>627</v>
      </c>
      <c r="N711" s="185"/>
      <c r="O711" s="177"/>
      <c r="P711" s="179"/>
      <c r="Q711" s="180"/>
      <c r="V711" s="9"/>
    </row>
    <row r="712" spans="1:22" s="142" customFormat="1" ht="12" customHeight="1" x14ac:dyDescent="0.2">
      <c r="A712" s="171">
        <v>412</v>
      </c>
      <c r="B712" s="211">
        <v>9999</v>
      </c>
      <c r="C712" s="171"/>
      <c r="D712" s="172" t="s">
        <v>1662</v>
      </c>
      <c r="E712" s="173"/>
      <c r="F712" s="160"/>
      <c r="G712" s="174" t="s">
        <v>24</v>
      </c>
      <c r="H712" s="238" t="s">
        <v>1545</v>
      </c>
      <c r="I712" s="162"/>
      <c r="J712" s="163" t="s">
        <v>35</v>
      </c>
      <c r="K712" s="175" t="s">
        <v>35</v>
      </c>
      <c r="L712" s="176" t="str">
        <f>IF(ISNUMBER(I712), I712/150, "")</f>
        <v/>
      </c>
      <c r="M712" s="177" t="s">
        <v>627</v>
      </c>
      <c r="N712" s="178"/>
      <c r="O712" s="179"/>
      <c r="P712" s="179"/>
      <c r="Q712" s="180"/>
      <c r="V712" s="9"/>
    </row>
    <row r="713" spans="1:22" s="142" customFormat="1" ht="1.5" customHeight="1" x14ac:dyDescent="0.2">
      <c r="A713" s="158">
        <v>413</v>
      </c>
      <c r="B713" s="159">
        <v>9999</v>
      </c>
      <c r="C713" s="158"/>
      <c r="D713" s="160" t="s">
        <v>1663</v>
      </c>
      <c r="E713" s="161"/>
      <c r="F713" s="160"/>
      <c r="G713" s="160" t="s">
        <v>24</v>
      </c>
      <c r="H713" s="160" t="s">
        <v>1664</v>
      </c>
      <c r="I713" s="162"/>
      <c r="J713" s="163"/>
      <c r="K713" s="164"/>
      <c r="L713" s="165"/>
      <c r="M713" s="166" t="s">
        <v>627</v>
      </c>
      <c r="N713" s="167"/>
      <c r="O713" s="166"/>
      <c r="P713" s="166"/>
      <c r="Q713" s="168"/>
      <c r="V713" s="9"/>
    </row>
    <row r="714" spans="1:22" s="142" customFormat="1" ht="12" customHeight="1" x14ac:dyDescent="0.2">
      <c r="A714" s="158">
        <v>414</v>
      </c>
      <c r="B714" s="159">
        <v>9999</v>
      </c>
      <c r="C714" s="158"/>
      <c r="D714" s="160" t="s">
        <v>1665</v>
      </c>
      <c r="E714" s="161"/>
      <c r="F714" s="160"/>
      <c r="G714" s="160"/>
      <c r="H714" s="160" t="s">
        <v>1664</v>
      </c>
      <c r="I714" s="162"/>
      <c r="J714" s="163"/>
      <c r="K714" s="164"/>
      <c r="L714" s="165"/>
      <c r="M714" s="166" t="s">
        <v>627</v>
      </c>
      <c r="N714" s="167"/>
      <c r="O714" s="166"/>
      <c r="P714" s="166"/>
      <c r="Q714" s="168"/>
      <c r="V714" s="9"/>
    </row>
    <row r="715" spans="1:22" s="142" customFormat="1" ht="12" customHeight="1" x14ac:dyDescent="0.2">
      <c r="A715" s="158">
        <v>418</v>
      </c>
      <c r="B715" s="159">
        <v>9999</v>
      </c>
      <c r="C715" s="158"/>
      <c r="D715" s="160" t="s">
        <v>1666</v>
      </c>
      <c r="E715" s="161"/>
      <c r="F715" s="160" t="s">
        <v>32</v>
      </c>
      <c r="G715" s="160" t="s">
        <v>24</v>
      </c>
      <c r="H715" s="160"/>
      <c r="I715" s="162"/>
      <c r="J715" s="163"/>
      <c r="K715" s="164"/>
      <c r="L715" s="165"/>
      <c r="M715" s="166" t="s">
        <v>627</v>
      </c>
      <c r="N715" s="167"/>
      <c r="O715" s="166"/>
      <c r="P715" s="166"/>
      <c r="Q715" s="168"/>
      <c r="V715" s="9"/>
    </row>
    <row r="716" spans="1:22" s="142" customFormat="1" ht="12" customHeight="1" x14ac:dyDescent="0.2">
      <c r="A716" s="171">
        <v>425</v>
      </c>
      <c r="B716" s="159">
        <v>9999</v>
      </c>
      <c r="C716" s="171"/>
      <c r="D716" s="172" t="s">
        <v>1667</v>
      </c>
      <c r="E716" s="173"/>
      <c r="F716" s="174" t="s">
        <v>239</v>
      </c>
      <c r="G716" s="174" t="s">
        <v>24</v>
      </c>
      <c r="H716" s="172" t="s">
        <v>1668</v>
      </c>
      <c r="I716" s="162"/>
      <c r="J716" s="163" t="s">
        <v>35</v>
      </c>
      <c r="K716" s="164" t="s">
        <v>35</v>
      </c>
      <c r="L716" s="176"/>
      <c r="M716" s="184" t="s">
        <v>627</v>
      </c>
      <c r="N716" s="178"/>
      <c r="O716" s="179"/>
      <c r="P716" s="179"/>
      <c r="Q716" s="180"/>
      <c r="V716" s="9"/>
    </row>
    <row r="717" spans="1:22" s="142" customFormat="1" ht="12" customHeight="1" x14ac:dyDescent="0.2">
      <c r="A717" s="158">
        <v>439</v>
      </c>
      <c r="B717" s="159">
        <v>9999</v>
      </c>
      <c r="C717" s="158"/>
      <c r="D717" s="160" t="s">
        <v>1669</v>
      </c>
      <c r="E717" s="161"/>
      <c r="F717" s="160" t="s">
        <v>1670</v>
      </c>
      <c r="G717" s="160" t="s">
        <v>24</v>
      </c>
      <c r="H717" s="160" t="s">
        <v>1671</v>
      </c>
      <c r="I717" s="162"/>
      <c r="J717" s="163"/>
      <c r="K717" s="164"/>
      <c r="L717" s="165"/>
      <c r="M717" s="166" t="s">
        <v>627</v>
      </c>
      <c r="N717" s="167"/>
      <c r="O717" s="166"/>
      <c r="P717" s="166"/>
      <c r="Q717" s="168"/>
      <c r="V717" s="9"/>
    </row>
    <row r="718" spans="1:22" s="142" customFormat="1" ht="12" customHeight="1" x14ac:dyDescent="0.2">
      <c r="A718" s="158">
        <v>441</v>
      </c>
      <c r="B718" s="159">
        <v>9999</v>
      </c>
      <c r="C718" s="158"/>
      <c r="D718" s="160" t="s">
        <v>1672</v>
      </c>
      <c r="E718" s="161" t="s">
        <v>121</v>
      </c>
      <c r="F718" s="160" t="s">
        <v>198</v>
      </c>
      <c r="G718" s="160" t="s">
        <v>24</v>
      </c>
      <c r="H718" s="160" t="s">
        <v>1672</v>
      </c>
      <c r="I718" s="162"/>
      <c r="J718" s="163"/>
      <c r="K718" s="164"/>
      <c r="L718" s="165"/>
      <c r="M718" s="166" t="s">
        <v>627</v>
      </c>
      <c r="N718" s="167"/>
      <c r="O718" s="166"/>
      <c r="P718" s="166"/>
      <c r="Q718" s="168"/>
      <c r="V718" s="9"/>
    </row>
    <row r="719" spans="1:22" s="142" customFormat="1" ht="12" customHeight="1" x14ac:dyDescent="0.2">
      <c r="A719" s="158">
        <v>452</v>
      </c>
      <c r="B719" s="159">
        <v>9999</v>
      </c>
      <c r="C719" s="158"/>
      <c r="D719" s="160" t="s">
        <v>1673</v>
      </c>
      <c r="E719" s="161" t="s">
        <v>1090</v>
      </c>
      <c r="F719" s="160" t="s">
        <v>148</v>
      </c>
      <c r="G719" s="160" t="s">
        <v>181</v>
      </c>
      <c r="H719" s="160" t="s">
        <v>1674</v>
      </c>
      <c r="I719" s="162"/>
      <c r="J719" s="163"/>
      <c r="K719" s="164"/>
      <c r="L719" s="165"/>
      <c r="M719" s="166" t="s">
        <v>826</v>
      </c>
      <c r="N719" s="167"/>
      <c r="O719" s="166"/>
      <c r="P719" s="166"/>
      <c r="Q719" s="168"/>
      <c r="V719" s="9"/>
    </row>
    <row r="720" spans="1:22" s="142" customFormat="1" ht="12" customHeight="1" x14ac:dyDescent="0.2">
      <c r="A720" s="158">
        <v>472</v>
      </c>
      <c r="B720" s="159">
        <v>9999</v>
      </c>
      <c r="C720" s="158"/>
      <c r="D720" s="160" t="s">
        <v>1675</v>
      </c>
      <c r="E720" s="161"/>
      <c r="F720" s="160" t="s">
        <v>66</v>
      </c>
      <c r="G720" s="160" t="s">
        <v>24</v>
      </c>
      <c r="H720" s="160" t="s">
        <v>1676</v>
      </c>
      <c r="I720" s="162"/>
      <c r="J720" s="163"/>
      <c r="K720" s="164"/>
      <c r="L720" s="165"/>
      <c r="M720" s="166" t="s">
        <v>627</v>
      </c>
      <c r="N720" s="167"/>
      <c r="O720" s="166"/>
      <c r="P720" s="166"/>
      <c r="Q720" s="168"/>
      <c r="V720" s="9"/>
    </row>
    <row r="721" spans="1:22" s="142" customFormat="1" ht="12" customHeight="1" x14ac:dyDescent="0.2">
      <c r="A721" s="158">
        <v>482</v>
      </c>
      <c r="B721" s="159">
        <v>9999</v>
      </c>
      <c r="C721" s="158"/>
      <c r="D721" s="160" t="s">
        <v>1677</v>
      </c>
      <c r="E721" s="161"/>
      <c r="F721" s="160" t="s">
        <v>161</v>
      </c>
      <c r="G721" s="160" t="s">
        <v>24</v>
      </c>
      <c r="H721" s="160"/>
      <c r="I721" s="162"/>
      <c r="J721" s="163"/>
      <c r="K721" s="164"/>
      <c r="L721" s="165"/>
      <c r="M721" s="166" t="s">
        <v>627</v>
      </c>
      <c r="N721" s="167"/>
      <c r="O721" s="166"/>
      <c r="P721" s="166"/>
      <c r="Q721" s="168"/>
      <c r="V721" s="9"/>
    </row>
    <row r="722" spans="1:22" s="142" customFormat="1" ht="12" customHeight="1" x14ac:dyDescent="0.2">
      <c r="A722" s="158">
        <v>496</v>
      </c>
      <c r="B722" s="159">
        <v>9999</v>
      </c>
      <c r="C722" s="158"/>
      <c r="D722" s="160" t="s">
        <v>1678</v>
      </c>
      <c r="E722" s="161" t="s">
        <v>221</v>
      </c>
      <c r="F722" s="160" t="s">
        <v>1679</v>
      </c>
      <c r="G722" s="160" t="s">
        <v>24</v>
      </c>
      <c r="H722" s="160" t="s">
        <v>1680</v>
      </c>
      <c r="I722" s="162"/>
      <c r="J722" s="163"/>
      <c r="K722" s="164"/>
      <c r="L722" s="165"/>
      <c r="M722" s="166" t="s">
        <v>627</v>
      </c>
      <c r="N722" s="167"/>
      <c r="O722" s="166"/>
      <c r="P722" s="166"/>
      <c r="Q722" s="168"/>
      <c r="V722" s="9"/>
    </row>
    <row r="723" spans="1:22" s="142" customFormat="1" ht="12" customHeight="1" x14ac:dyDescent="0.2">
      <c r="A723" s="158">
        <v>501</v>
      </c>
      <c r="B723" s="159">
        <v>9999</v>
      </c>
      <c r="C723" s="158"/>
      <c r="D723" s="160" t="s">
        <v>1681</v>
      </c>
      <c r="E723" s="161"/>
      <c r="F723" s="160" t="s">
        <v>32</v>
      </c>
      <c r="G723" s="160" t="s">
        <v>24</v>
      </c>
      <c r="H723" s="160" t="s">
        <v>1682</v>
      </c>
      <c r="I723" s="162"/>
      <c r="J723" s="163"/>
      <c r="K723" s="164"/>
      <c r="L723" s="165"/>
      <c r="M723" s="166" t="s">
        <v>627</v>
      </c>
      <c r="N723" s="167"/>
      <c r="O723" s="166"/>
      <c r="P723" s="166"/>
      <c r="Q723" s="168"/>
      <c r="V723" s="242"/>
    </row>
    <row r="724" spans="1:22" s="142" customFormat="1" ht="12" customHeight="1" x14ac:dyDescent="0.2">
      <c r="A724" s="171">
        <v>502</v>
      </c>
      <c r="B724" s="159">
        <v>9999</v>
      </c>
      <c r="C724" s="171"/>
      <c r="D724" s="172" t="s">
        <v>1683</v>
      </c>
      <c r="E724" s="173"/>
      <c r="F724" s="174" t="s">
        <v>32</v>
      </c>
      <c r="G724" s="174" t="s">
        <v>24</v>
      </c>
      <c r="H724" s="172" t="s">
        <v>1684</v>
      </c>
      <c r="I724" s="162"/>
      <c r="J724" s="163" t="s">
        <v>35</v>
      </c>
      <c r="K724" s="164" t="s">
        <v>35</v>
      </c>
      <c r="L724" s="176"/>
      <c r="M724" s="184" t="s">
        <v>627</v>
      </c>
      <c r="N724" s="178"/>
      <c r="O724" s="179"/>
      <c r="P724" s="179"/>
      <c r="Q724" s="180"/>
      <c r="V724" s="9"/>
    </row>
    <row r="725" spans="1:22" s="142" customFormat="1" ht="12" customHeight="1" x14ac:dyDescent="0.2">
      <c r="A725" s="171">
        <v>503</v>
      </c>
      <c r="B725" s="159">
        <v>9999</v>
      </c>
      <c r="C725" s="171"/>
      <c r="D725" s="188" t="s">
        <v>1685</v>
      </c>
      <c r="E725" s="173" t="s">
        <v>354</v>
      </c>
      <c r="F725" s="197" t="s">
        <v>320</v>
      </c>
      <c r="G725" s="174" t="s">
        <v>24</v>
      </c>
      <c r="H725" s="172" t="s">
        <v>1686</v>
      </c>
      <c r="I725" s="162">
        <f>15000</f>
        <v>15000</v>
      </c>
      <c r="J725" s="203" t="s">
        <v>26</v>
      </c>
      <c r="K725" s="243" t="s">
        <v>1505</v>
      </c>
      <c r="L725" s="176"/>
      <c r="M725" s="184" t="s">
        <v>627</v>
      </c>
      <c r="N725" s="185"/>
      <c r="O725" s="201"/>
      <c r="P725" s="179"/>
      <c r="Q725" s="180"/>
      <c r="V725" s="9"/>
    </row>
    <row r="726" spans="1:22" s="142" customFormat="1" ht="12" customHeight="1" x14ac:dyDescent="0.2">
      <c r="A726" s="158">
        <v>598</v>
      </c>
      <c r="B726" s="159">
        <v>9999</v>
      </c>
      <c r="C726" s="158"/>
      <c r="D726" s="160" t="s">
        <v>1687</v>
      </c>
      <c r="E726" s="161"/>
      <c r="F726" s="160" t="s">
        <v>1688</v>
      </c>
      <c r="G726" s="160" t="s">
        <v>24</v>
      </c>
      <c r="H726" s="160" t="s">
        <v>1689</v>
      </c>
      <c r="I726" s="162"/>
      <c r="J726" s="163" t="s">
        <v>124</v>
      </c>
      <c r="K726" s="164" t="s">
        <v>35</v>
      </c>
      <c r="L726" s="165"/>
      <c r="M726" s="166" t="s">
        <v>627</v>
      </c>
      <c r="N726" s="167"/>
      <c r="O726" s="166"/>
      <c r="P726" s="166"/>
      <c r="Q726" s="168"/>
      <c r="V726" s="9"/>
    </row>
    <row r="727" spans="1:22" s="142" customFormat="1" ht="12" customHeight="1" x14ac:dyDescent="0.2">
      <c r="A727" s="171">
        <v>605</v>
      </c>
      <c r="B727" s="159">
        <v>9999</v>
      </c>
      <c r="C727" s="171"/>
      <c r="D727" s="238" t="s">
        <v>1690</v>
      </c>
      <c r="E727" s="173"/>
      <c r="F727" s="174" t="s">
        <v>161</v>
      </c>
      <c r="G727" s="174" t="s">
        <v>24</v>
      </c>
      <c r="H727" s="172" t="s">
        <v>1691</v>
      </c>
      <c r="I727" s="162"/>
      <c r="J727" s="163" t="s">
        <v>35</v>
      </c>
      <c r="K727" s="164" t="s">
        <v>35</v>
      </c>
      <c r="L727" s="194"/>
      <c r="M727" s="177" t="s">
        <v>627</v>
      </c>
      <c r="N727" s="178"/>
      <c r="O727" s="179"/>
      <c r="P727" s="179"/>
      <c r="Q727" s="180"/>
      <c r="V727" s="9"/>
    </row>
    <row r="728" spans="1:22" s="142" customFormat="1" ht="12" customHeight="1" x14ac:dyDescent="0.2">
      <c r="A728" s="171">
        <v>615</v>
      </c>
      <c r="B728" s="159">
        <v>9999</v>
      </c>
      <c r="C728" s="171"/>
      <c r="D728" s="172" t="s">
        <v>1692</v>
      </c>
      <c r="E728" s="173" t="s">
        <v>221</v>
      </c>
      <c r="F728" s="197" t="s">
        <v>1693</v>
      </c>
      <c r="G728" s="174" t="s">
        <v>24</v>
      </c>
      <c r="H728" s="172" t="s">
        <v>1694</v>
      </c>
      <c r="I728" s="162"/>
      <c r="J728" s="163" t="s">
        <v>35</v>
      </c>
      <c r="K728" s="243" t="s">
        <v>35</v>
      </c>
      <c r="L728" s="176"/>
      <c r="M728" s="244" t="s">
        <v>627</v>
      </c>
      <c r="N728" s="185"/>
      <c r="O728" s="201"/>
      <c r="P728" s="179"/>
      <c r="Q728" s="180"/>
      <c r="V728" s="9"/>
    </row>
    <row r="729" spans="1:22" s="142" customFormat="1" ht="12" customHeight="1" x14ac:dyDescent="0.2">
      <c r="A729" s="171">
        <v>621</v>
      </c>
      <c r="B729" s="159">
        <v>9999</v>
      </c>
      <c r="C729" s="171"/>
      <c r="D729" s="172" t="s">
        <v>1695</v>
      </c>
      <c r="E729" s="173"/>
      <c r="F729" s="174" t="s">
        <v>39</v>
      </c>
      <c r="G729" s="174" t="s">
        <v>1257</v>
      </c>
      <c r="H729" s="172" t="s">
        <v>1696</v>
      </c>
      <c r="I729" s="162"/>
      <c r="J729" s="163" t="s">
        <v>35</v>
      </c>
      <c r="K729" s="164" t="s">
        <v>35</v>
      </c>
      <c r="L729" s="194"/>
      <c r="M729" s="177" t="s">
        <v>627</v>
      </c>
      <c r="N729" s="178"/>
      <c r="O729" s="179"/>
      <c r="P729" s="179"/>
      <c r="Q729" s="180"/>
      <c r="V729" s="9"/>
    </row>
    <row r="730" spans="1:22" s="142" customFormat="1" ht="12" customHeight="1" x14ac:dyDescent="0.2">
      <c r="A730" s="171">
        <v>634</v>
      </c>
      <c r="B730" s="159">
        <v>9999</v>
      </c>
      <c r="C730" s="171"/>
      <c r="D730" s="172" t="s">
        <v>1697</v>
      </c>
      <c r="E730" s="173" t="s">
        <v>121</v>
      </c>
      <c r="F730" s="174" t="s">
        <v>1698</v>
      </c>
      <c r="G730" s="174" t="s">
        <v>1257</v>
      </c>
      <c r="H730" s="172" t="s">
        <v>1699</v>
      </c>
      <c r="I730" s="162"/>
      <c r="J730" s="163" t="s">
        <v>35</v>
      </c>
      <c r="K730" s="164" t="s">
        <v>35</v>
      </c>
      <c r="L730" s="194"/>
      <c r="M730" s="177" t="s">
        <v>627</v>
      </c>
      <c r="N730" s="178"/>
      <c r="O730" s="179"/>
      <c r="P730" s="179"/>
      <c r="Q730" s="180"/>
      <c r="V730" s="9"/>
    </row>
    <row r="731" spans="1:22" s="142" customFormat="1" ht="12" customHeight="1" x14ac:dyDescent="0.2">
      <c r="A731" s="171">
        <v>642</v>
      </c>
      <c r="B731" s="159">
        <v>9999</v>
      </c>
      <c r="C731" s="171"/>
      <c r="D731" s="172" t="s">
        <v>1700</v>
      </c>
      <c r="E731" s="173" t="s">
        <v>1443</v>
      </c>
      <c r="F731" s="174" t="s">
        <v>239</v>
      </c>
      <c r="G731" s="174" t="s">
        <v>24</v>
      </c>
      <c r="H731" s="172" t="s">
        <v>1701</v>
      </c>
      <c r="I731" s="162"/>
      <c r="J731" s="163" t="s">
        <v>124</v>
      </c>
      <c r="K731" s="175" t="s">
        <v>83</v>
      </c>
      <c r="L731" s="176"/>
      <c r="M731" s="184" t="s">
        <v>627</v>
      </c>
      <c r="N731" s="178"/>
      <c r="O731" s="179"/>
      <c r="P731" s="179" t="s">
        <v>246</v>
      </c>
      <c r="Q731" s="180">
        <v>46090</v>
      </c>
      <c r="V731" s="9"/>
    </row>
    <row r="732" spans="1:22" s="142" customFormat="1" ht="12" customHeight="1" x14ac:dyDescent="0.2">
      <c r="A732" s="171">
        <v>655</v>
      </c>
      <c r="B732" s="159">
        <v>9999</v>
      </c>
      <c r="C732" s="171"/>
      <c r="D732" s="172" t="s">
        <v>1702</v>
      </c>
      <c r="E732" s="173" t="s">
        <v>170</v>
      </c>
      <c r="F732" s="174" t="s">
        <v>1703</v>
      </c>
      <c r="G732" s="174" t="s">
        <v>24</v>
      </c>
      <c r="H732" s="172" t="s">
        <v>1704</v>
      </c>
      <c r="I732" s="162"/>
      <c r="J732" s="163"/>
      <c r="K732" s="164"/>
      <c r="L732" s="176"/>
      <c r="M732" s="177" t="s">
        <v>627</v>
      </c>
      <c r="N732" s="178"/>
      <c r="O732" s="179"/>
      <c r="P732" s="179"/>
      <c r="Q732" s="180"/>
      <c r="V732" s="9"/>
    </row>
    <row r="733" spans="1:22" s="142" customFormat="1" ht="12" customHeight="1" x14ac:dyDescent="0.2">
      <c r="A733" s="171">
        <v>660</v>
      </c>
      <c r="B733" s="159">
        <v>9999</v>
      </c>
      <c r="C733" s="171"/>
      <c r="D733" s="172" t="s">
        <v>1705</v>
      </c>
      <c r="E733" s="173" t="s">
        <v>170</v>
      </c>
      <c r="F733" s="174" t="s">
        <v>1706</v>
      </c>
      <c r="G733" s="174" t="s">
        <v>48</v>
      </c>
      <c r="H733" s="172" t="s">
        <v>1707</v>
      </c>
      <c r="I733" s="162"/>
      <c r="J733" s="163" t="s">
        <v>124</v>
      </c>
      <c r="K733" s="164" t="s">
        <v>35</v>
      </c>
      <c r="L733" s="176"/>
      <c r="M733" s="177" t="s">
        <v>627</v>
      </c>
      <c r="N733" s="178"/>
      <c r="O733" s="179"/>
      <c r="P733" s="179" t="s">
        <v>93</v>
      </c>
      <c r="Q733" s="180">
        <v>46120</v>
      </c>
      <c r="V733" s="9"/>
    </row>
    <row r="734" spans="1:22" s="142" customFormat="1" ht="12" customHeight="1" x14ac:dyDescent="0.2">
      <c r="A734" s="171">
        <v>703</v>
      </c>
      <c r="B734" s="159">
        <v>9999</v>
      </c>
      <c r="C734" s="171"/>
      <c r="D734" s="172" t="s">
        <v>1708</v>
      </c>
      <c r="E734" s="173"/>
      <c r="F734" s="174" t="s">
        <v>39</v>
      </c>
      <c r="G734" s="174" t="s">
        <v>24</v>
      </c>
      <c r="H734" s="172" t="s">
        <v>1709</v>
      </c>
      <c r="I734" s="223"/>
      <c r="J734" s="163" t="s">
        <v>35</v>
      </c>
      <c r="K734" s="164" t="s">
        <v>35</v>
      </c>
      <c r="L734" s="176"/>
      <c r="M734" s="177" t="s">
        <v>627</v>
      </c>
      <c r="N734" s="178"/>
      <c r="O734" s="179"/>
      <c r="P734" s="179" t="s">
        <v>45</v>
      </c>
      <c r="Q734" s="180">
        <v>46181</v>
      </c>
      <c r="V734" s="9"/>
    </row>
    <row r="735" spans="1:22" s="142" customFormat="1" ht="12" customHeight="1" x14ac:dyDescent="0.2">
      <c r="A735" s="171">
        <v>708</v>
      </c>
      <c r="B735" s="159">
        <v>9999</v>
      </c>
      <c r="C735" s="171"/>
      <c r="D735" s="172" t="s">
        <v>1710</v>
      </c>
      <c r="E735" s="173"/>
      <c r="F735" s="174" t="s">
        <v>1711</v>
      </c>
      <c r="G735" s="174" t="s">
        <v>24</v>
      </c>
      <c r="H735" s="172" t="s">
        <v>1712</v>
      </c>
      <c r="I735" s="223"/>
      <c r="J735" s="163" t="s">
        <v>35</v>
      </c>
      <c r="K735" s="164" t="s">
        <v>35</v>
      </c>
      <c r="L735" s="176"/>
      <c r="M735" s="177" t="s">
        <v>627</v>
      </c>
      <c r="N735" s="178"/>
      <c r="O735" s="179"/>
      <c r="P735" s="179" t="s">
        <v>1713</v>
      </c>
      <c r="Q735" s="180">
        <v>46188</v>
      </c>
      <c r="V735" s="9"/>
    </row>
    <row r="736" spans="1:22" ht="12" customHeight="1" x14ac:dyDescent="0.2">
      <c r="A736" s="222">
        <v>721</v>
      </c>
      <c r="B736" s="159">
        <v>9999</v>
      </c>
      <c r="C736" s="222"/>
      <c r="D736" s="245" t="s">
        <v>1714</v>
      </c>
      <c r="E736" s="193" t="s">
        <v>65</v>
      </c>
      <c r="F736" s="245" t="s">
        <v>1715</v>
      </c>
      <c r="G736" s="197" t="s">
        <v>24</v>
      </c>
      <c r="H736" s="245" t="s">
        <v>72</v>
      </c>
      <c r="I736" s="162"/>
      <c r="J736" s="163" t="s">
        <v>35</v>
      </c>
      <c r="K736" s="175" t="s">
        <v>74</v>
      </c>
      <c r="L736" s="176" t="str">
        <f>IF(ISNUMBER(I736), I736/150, "")</f>
        <v/>
      </c>
      <c r="M736" s="177" t="s">
        <v>627</v>
      </c>
      <c r="N736" s="178"/>
      <c r="O736" s="177"/>
      <c r="P736" s="177"/>
      <c r="Q736" s="192"/>
      <c r="R736" s="157"/>
      <c r="S736" s="157"/>
      <c r="T736" s="157"/>
      <c r="U736" s="157"/>
    </row>
    <row r="801" spans="7:7" ht="12" customHeight="1" x14ac:dyDescent="0.2">
      <c r="G801" s="97"/>
    </row>
    <row r="802" spans="7:7" ht="12" customHeight="1" x14ac:dyDescent="0.2">
      <c r="G802" s="97"/>
    </row>
    <row r="803" spans="7:7" ht="12" customHeight="1" x14ac:dyDescent="0.2">
      <c r="G803" s="97"/>
    </row>
    <row r="804" spans="7:7" ht="12" customHeight="1" x14ac:dyDescent="0.2">
      <c r="G804" s="97"/>
    </row>
    <row r="805" spans="7:7" ht="12" customHeight="1" x14ac:dyDescent="0.2">
      <c r="G805" s="97"/>
    </row>
    <row r="806" spans="7:7" ht="12" customHeight="1" x14ac:dyDescent="0.2">
      <c r="G806" s="97"/>
    </row>
    <row r="807" spans="7:7" ht="12" customHeight="1" x14ac:dyDescent="0.2">
      <c r="G807" s="97"/>
    </row>
    <row r="808" spans="7:7" ht="12" customHeight="1" x14ac:dyDescent="0.2">
      <c r="G808" s="97"/>
    </row>
    <row r="809" spans="7:7" ht="12" customHeight="1" x14ac:dyDescent="0.2">
      <c r="G809" s="97"/>
    </row>
    <row r="810" spans="7:7" ht="12" customHeight="1" x14ac:dyDescent="0.2">
      <c r="G810" s="97"/>
    </row>
    <row r="811" spans="7:7" ht="12" customHeight="1" x14ac:dyDescent="0.2">
      <c r="G811" s="97"/>
    </row>
    <row r="812" spans="7:7" ht="12" customHeight="1" x14ac:dyDescent="0.2">
      <c r="G812" s="97"/>
    </row>
    <row r="813" spans="7:7" ht="12" customHeight="1" x14ac:dyDescent="0.2">
      <c r="G813" s="97"/>
    </row>
    <row r="814" spans="7:7" ht="12" customHeight="1" x14ac:dyDescent="0.2">
      <c r="G814" s="97"/>
    </row>
    <row r="815" spans="7:7" ht="12" customHeight="1" x14ac:dyDescent="0.2">
      <c r="G815" s="97"/>
    </row>
    <row r="816" spans="7:7" ht="12" customHeight="1" x14ac:dyDescent="0.2">
      <c r="G816" s="97"/>
    </row>
  </sheetData>
  <conditionalFormatting sqref="A1:A1048576">
    <cfRule type="expression" dxfId="33" priority="34">
      <formula>COUNTIF($A$1:$A$637, A1)&gt;1</formula>
    </cfRule>
  </conditionalFormatting>
  <conditionalFormatting sqref="E2:E1048576">
    <cfRule type="containsText" dxfId="32" priority="5" operator="containsText" text="Amazon">
      <formula>NOT(ISERROR(SEARCH("Amazon",E2)))</formula>
    </cfRule>
    <cfRule type="containsText" dxfId="31" priority="6" operator="containsText" text="DHL">
      <formula>NOT(ISERROR(SEARCH("DHL",E2)))</formula>
    </cfRule>
    <cfRule type="containsText" dxfId="30" priority="7" operator="containsText" text="Fraud">
      <formula>NOT(ISERROR(SEARCH("Fraud",E2)))</formula>
    </cfRule>
    <cfRule type="containsText" dxfId="29" priority="8" operator="containsText" text="Shopify">
      <formula>NOT(ISERROR(SEARCH("Shopify",E2)))</formula>
    </cfRule>
    <cfRule type="containsText" dxfId="28" priority="31" operator="containsText" text="Matt J">
      <formula>NOT(ISERROR(SEARCH("Matt J",E2)))</formula>
    </cfRule>
  </conditionalFormatting>
  <conditionalFormatting sqref="E173 O1:Q1">
    <cfRule type="containsText" dxfId="27" priority="32" operator="containsText" text="eBay">
      <formula>NOT(ISERROR(SEARCH("eBay",E1)))</formula>
    </cfRule>
  </conditionalFormatting>
  <conditionalFormatting sqref="G1:G1048576">
    <cfRule type="cellIs" dxfId="26" priority="4" operator="equal">
      <formula>"Gap - C"</formula>
    </cfRule>
  </conditionalFormatting>
  <conditionalFormatting sqref="G2:G348 G350:G617">
    <cfRule type="cellIs" dxfId="25" priority="18" operator="equal">
      <formula>"Bus Enhancement"</formula>
    </cfRule>
  </conditionalFormatting>
  <conditionalFormatting sqref="G178">
    <cfRule type="containsText" dxfId="24" priority="19" operator="containsText" text="Scheduled">
      <formula>NOT(ISERROR(SEARCH("Scheduled",G178)))</formula>
    </cfRule>
    <cfRule type="containsText" dxfId="23" priority="20" operator="containsText" text="Notionally planned">
      <formula>NOT(ISERROR(SEARCH("Notionally planned",G178)))</formula>
    </cfRule>
    <cfRule type="containsText" dxfId="22" priority="21" operator="containsText" text="Need to schedule">
      <formula>NOT(ISERROR(SEARCH("Need to schedule",G178)))</formula>
    </cfRule>
  </conditionalFormatting>
  <conditionalFormatting sqref="G622">
    <cfRule type="cellIs" dxfId="21" priority="17" operator="equal">
      <formula>"Bus Enhancement"</formula>
    </cfRule>
  </conditionalFormatting>
  <conditionalFormatting sqref="G649">
    <cfRule type="cellIs" dxfId="20" priority="14" operator="equal">
      <formula>"Bus Enhancement"</formula>
    </cfRule>
  </conditionalFormatting>
  <conditionalFormatting sqref="G652">
    <cfRule type="cellIs" dxfId="19" priority="10" operator="equal">
      <formula>"Bus Enhancement"</formula>
    </cfRule>
  </conditionalFormatting>
  <conditionalFormatting sqref="H169">
    <cfRule type="containsText" dxfId="18" priority="25" operator="containsText" text="Y">
      <formula>NOT(ISERROR(SEARCH("Y",H169)))</formula>
    </cfRule>
    <cfRule type="containsText" dxfId="17" priority="26" operator="containsText" text="N">
      <formula>NOT(ISERROR(SEARCH("N",H169)))</formula>
    </cfRule>
  </conditionalFormatting>
  <conditionalFormatting sqref="H175">
    <cfRule type="containsText" dxfId="16" priority="22" operator="containsText" text="Scheduled">
      <formula>NOT(ISERROR(SEARCH("Scheduled",H175)))</formula>
    </cfRule>
    <cfRule type="containsText" dxfId="15" priority="23" operator="containsText" text="Notionally planned">
      <formula>NOT(ISERROR(SEARCH("Notionally planned",H175)))</formula>
    </cfRule>
    <cfRule type="containsText" dxfId="14" priority="24" operator="containsText" text="Need to schedule">
      <formula>NOT(ISERROR(SEARCH("Need to schedule",H175)))</formula>
    </cfRule>
  </conditionalFormatting>
  <conditionalFormatting sqref="H241:I241">
    <cfRule type="containsText" dxfId="13" priority="28" operator="containsText" text="Scheduled">
      <formula>NOT(ISERROR(SEARCH("Scheduled",H241)))</formula>
    </cfRule>
    <cfRule type="containsText" dxfId="12" priority="29" operator="containsText" text="Notionally scheduled">
      <formula>NOT(ISERROR(SEARCH("Notionally scheduled",H241)))</formula>
    </cfRule>
    <cfRule type="containsText" dxfId="11" priority="30" operator="containsText" text="Needs to be scheduled">
      <formula>NOT(ISERROR(SEARCH("Needs to be scheduled",H241)))</formula>
    </cfRule>
  </conditionalFormatting>
  <conditionalFormatting sqref="J1:L1 J2:K691 J692:L704 J705:K705 J706:L1048576">
    <cfRule type="cellIs" dxfId="10" priority="15" operator="equal">
      <formula>"Y"</formula>
    </cfRule>
    <cfRule type="cellIs" dxfId="9" priority="16" operator="equal">
      <formula>"N"</formula>
    </cfRule>
  </conditionalFormatting>
  <conditionalFormatting sqref="M1:M1048576">
    <cfRule type="cellIs" dxfId="8" priority="1" operator="equal">
      <formula>"Verify Deployment"</formula>
    </cfRule>
    <cfRule type="cellIs" dxfId="7" priority="2" operator="equal">
      <formula>"Financial Hold"</formula>
    </cfRule>
    <cfRule type="cellIs" dxfId="6" priority="3" operator="equal">
      <formula>"Ready for Dev"</formula>
    </cfRule>
    <cfRule type="cellIs" dxfId="5" priority="9" operator="equal">
      <formula>"Request to Schedule"</formula>
    </cfRule>
    <cfRule type="cellIs" dxfId="4" priority="11" operator="equal">
      <formula>"Scheduled"</formula>
    </cfRule>
    <cfRule type="cellIs" dxfId="3" priority="12" operator="equal">
      <formula>"Notionally Planned"</formula>
    </cfRule>
    <cfRule type="cellIs" dxfId="2" priority="13" operator="equal">
      <formula>"On Hold"</formula>
    </cfRule>
    <cfRule type="cellIs" dxfId="1" priority="27" operator="equal">
      <formula>"New"</formula>
    </cfRule>
    <cfRule type="containsText" dxfId="0" priority="33" operator="containsText" text="Needs Requirements">
      <formula>NOT(ISERROR(SEARCH("Needs Requirements",M1)))</formula>
    </cfRule>
  </conditionalFormatting>
  <hyperlinks>
    <hyperlink ref="H716" r:id="rId1" display="../../../../../:w:/r/sites/PackagePlatform795/Shared Documents/Documentation/Ship Priorities Documentation/Aggregate Transaction Reporting for Overridden Monthly Adjustments/Aggregate Transaction Reporting for Overridden Monthly Adjustments Requirements.docx?d=w97fac05d43b3401c91ba97b78dbe0468&amp;csf=1&amp;web=1&amp;e=wXIFf7" xr:uid="{3E6CA81F-49F6-4291-9F71-9D9BD9D2438D}"/>
    <hyperlink ref="H252" r:id="rId2" display="https://usps.servicenowservices.com/now/nav/ui/classic/params/target/tsp2_demand.do%3Fsys_id%3D05d6e6da975cbed0f997b3b0f053af20%26sysparm_stack%3D%26sysparm_view%3DDefault%2Bview%26sysparm_view_forced%3Dtrue" xr:uid="{FAE46A2F-F4BB-42E8-996E-C235384EED8C}"/>
  </hyperlinks>
  <pageMargins left="0.7" right="0.7" top="0.75" bottom="0.75" header="0.3" footer="0.3"/>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Mattern, Benedict J - Alexandria, VA - Contractor</dc:creator>
  <cp:lastModifiedBy>Mattern, Benedict J - Alexandria, VA - Contractor</cp:lastModifiedBy>
  <dcterms:created xsi:type="dcterms:W3CDTF">2026-07-23T21:06:41Z</dcterms:created>
  <dcterms:modified xsi:type="dcterms:W3CDTF">2026-07-23T21:07:40Z</dcterms:modified>
</cp:coreProperties>
</file>